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nacollawn/Desktop/Boot Camp/Challenges/Starter_Code/"/>
    </mc:Choice>
  </mc:AlternateContent>
  <xr:revisionPtr revIDLastSave="0" documentId="13_ncr:1_{737772DE-1E61-C642-B2BD-86E98405669D}" xr6:coauthVersionLast="47" xr6:coauthVersionMax="47" xr10:uidLastSave="{00000000-0000-0000-0000-000000000000}"/>
  <bookViews>
    <workbookView xWindow="0" yWindow="500" windowWidth="25580" windowHeight="14020" activeTab="5" xr2:uid="{00000000-000D-0000-FFFF-FFFF00000000}"/>
  </bookViews>
  <sheets>
    <sheet name="Pivot Table 1" sheetId="2" r:id="rId1"/>
    <sheet name="Pivot Table 2" sheetId="3" r:id="rId2"/>
    <sheet name="Pivot Table 3" sheetId="4" r:id="rId3"/>
    <sheet name="Crowdfunding Goal Analysis" sheetId="5" r:id="rId4"/>
    <sheet name="Crowdfunding" sheetId="1" r:id="rId5"/>
    <sheet name="Sheet5" sheetId="6" r:id="rId6"/>
  </sheets>
  <definedNames>
    <definedName name="_xlnm._FilterDatabase" localSheetId="4" hidden="1">Crowdfunding!$A$1:$T$1001</definedName>
  </definedNames>
  <calcPr calcId="191029"/>
  <pivotCaches>
    <pivotCache cacheId="4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6" l="1"/>
  <c r="H6" i="6"/>
  <c r="H5" i="6"/>
  <c r="H4" i="6"/>
  <c r="H3" i="6"/>
  <c r="H2" i="6"/>
  <c r="G7" i="6"/>
  <c r="G6" i="6"/>
  <c r="G5" i="6"/>
  <c r="G4" i="6"/>
  <c r="G3" i="6"/>
  <c r="G2" i="6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13" i="5"/>
  <c r="B12" i="5"/>
  <c r="B11" i="5"/>
  <c r="E11" i="5" s="1"/>
  <c r="B10" i="5"/>
  <c r="B9" i="5"/>
  <c r="B8" i="5"/>
  <c r="B7" i="5"/>
  <c r="B6" i="5"/>
  <c r="B5" i="5"/>
  <c r="B4" i="5"/>
  <c r="B3" i="5"/>
  <c r="E3" i="5" s="1"/>
  <c r="B2" i="5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I2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I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E7" i="5" l="1"/>
  <c r="G3" i="5"/>
  <c r="G11" i="5"/>
  <c r="H11" i="5"/>
  <c r="G7" i="5"/>
  <c r="H3" i="5"/>
  <c r="H7" i="5"/>
  <c r="E2" i="5"/>
  <c r="F2" i="5" s="1"/>
  <c r="E10" i="5"/>
  <c r="H10" i="5" s="1"/>
  <c r="E6" i="5"/>
  <c r="H6" i="5" s="1"/>
  <c r="F11" i="5"/>
  <c r="F7" i="5"/>
  <c r="F3" i="5"/>
  <c r="E13" i="5"/>
  <c r="H13" i="5" s="1"/>
  <c r="E9" i="5"/>
  <c r="G9" i="5" s="1"/>
  <c r="E5" i="5"/>
  <c r="F5" i="5" s="1"/>
  <c r="E12" i="5"/>
  <c r="H12" i="5" s="1"/>
  <c r="E8" i="5"/>
  <c r="G8" i="5" s="1"/>
  <c r="E4" i="5"/>
  <c r="F4" i="5" s="1"/>
  <c r="F9" i="5" l="1"/>
  <c r="G4" i="5"/>
  <c r="G5" i="5"/>
  <c r="H2" i="5"/>
  <c r="H9" i="5"/>
  <c r="G2" i="5"/>
  <c r="H5" i="5"/>
  <c r="H4" i="5"/>
  <c r="H8" i="5"/>
  <c r="G10" i="5"/>
  <c r="F12" i="5"/>
  <c r="G6" i="5"/>
  <c r="G13" i="5"/>
  <c r="F6" i="5"/>
  <c r="G12" i="5"/>
  <c r="F8" i="5"/>
  <c r="F10" i="5"/>
  <c r="F13" i="5"/>
</calcChain>
</file>

<file path=xl/sharedStrings.xml><?xml version="1.0" encoding="utf-8"?>
<sst xmlns="http://schemas.openxmlformats.org/spreadsheetml/2006/main" count="9061" uniqueCount="2114">
  <si>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</si>
  <si>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</si>
  <si>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</si>
  <si>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</si>
  <si>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</si>
  <si>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</si>
  <si>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</si>
  <si>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</si>
  <si>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</si>
  <si>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</si>
  <si>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</si>
  <si>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</si>
  <si>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</si>
  <si>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</si>
  <si>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</si>
  <si>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</si>
  <si>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</si>
  <si>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</si>
  <si>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</si>
  <si>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</si>
  <si>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</si>
  <si>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</si>
  <si>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</si>
  <si>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</si>
  <si>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</si>
  <si>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</si>
  <si>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</si>
  <si>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</si>
  <si>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</si>
  <si>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</si>
  <si>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</si>
  <si>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</si>
  <si>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</si>
  <si>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</si>
  <si>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</si>
  <si>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</si>
  <si>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</si>
  <si>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</si>
  <si>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</si>
  <si>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</si>
  <si>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</si>
  <si>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</si>
  <si>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</si>
  <si>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</si>
  <si>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</si>
  <si>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</si>
  <si>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</si>
  <si>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</si>
  <si>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</si>
  <si>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</si>
  <si>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</si>
  <si>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</si>
  <si>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</si>
  <si>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</si>
  <si>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</si>
  <si>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</si>
  <si>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</si>
  <si>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</si>
  <si>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</si>
  <si>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</si>
  <si>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</si>
  <si>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</si>
  <si>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</si>
  <si>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</si>
  <si>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</si>
  <si>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</si>
  <si>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</si>
  <si>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</si>
  <si>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</si>
  <si>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</si>
  <si>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</si>
  <si>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</si>
  <si>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</si>
  <si>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</si>
  <si>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</si>
  <si>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</si>
  <si>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</si>
  <si>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</si>
  <si>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</si>
  <si>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</si>
  <si>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</si>
  <si>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</si>
  <si>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</si>
  <si>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</si>
  <si>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</si>
  <si>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</si>
  <si>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</si>
  <si>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</si>
  <si>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</si>
  <si>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</si>
  <si>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</si>
  <si>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</si>
  <si>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</si>
  <si>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</si>
  <si>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</si>
  <si>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</si>
  <si>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</si>
  <si>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</si>
  <si>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</si>
  <si>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</si>
  <si>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</si>
  <si>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</si>
  <si>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</si>
  <si>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</si>
  <si>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</si>
  <si>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</si>
  <si>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</si>
  <si>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</si>
  <si>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</si>
  <si>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</si>
  <si>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</si>
  <si>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</si>
  <si>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</si>
  <si>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</si>
  <si>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</si>
  <si>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</si>
  <si>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</si>
  <si>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</si>
  <si>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</si>
  <si>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</si>
  <si>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</si>
  <si>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</si>
  <si>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</si>
  <si>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</si>
  <si>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</si>
  <si>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</si>
  <si>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</si>
  <si>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</si>
  <si>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</si>
  <si>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</si>
  <si>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</si>
  <si>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</si>
  <si>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</si>
  <si>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</si>
  <si>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</si>
  <si>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</si>
  <si>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</si>
  <si>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</si>
  <si>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</si>
  <si>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</si>
  <si>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</si>
  <si>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</si>
  <si>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</si>
  <si>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</si>
  <si>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</si>
  <si>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</si>
  <si>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</si>
  <si>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</si>
  <si>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</si>
  <si>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</si>
  <si>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</si>
  <si>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</si>
  <si>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</si>
  <si>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</si>
  <si>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</si>
  <si>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</si>
  <si>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</si>
  <si>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</si>
  <si>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</si>
  <si>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</si>
  <si>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</si>
  <si>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</si>
  <si>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</si>
  <si>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</si>
  <si>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</si>
  <si>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</si>
  <si>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</si>
  <si>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</si>
  <si>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</si>
  <si>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</si>
  <si>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</si>
  <si>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</si>
  <si>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</si>
  <si>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</si>
  <si>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</si>
  <si>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</si>
  <si>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</si>
  <si>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</si>
  <si>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</si>
  <si>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</si>
  <si>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</si>
  <si>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</si>
  <si>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</si>
  <si>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</si>
  <si>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</si>
  <si>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</si>
  <si>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</si>
  <si>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</si>
  <si>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</si>
  <si>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</si>
  <si>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</si>
  <si>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</si>
  <si>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</si>
  <si>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</si>
  <si>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</si>
  <si>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</si>
  <si>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</si>
  <si>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</si>
  <si>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</si>
  <si>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</si>
  <si>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</si>
  <si>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</si>
  <si>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</si>
  <si>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</si>
  <si>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</si>
  <si>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</si>
  <si>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</si>
  <si>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</si>
  <si>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</si>
  <si>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</si>
  <si>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</si>
  <si>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</si>
  <si>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</si>
  <si>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</si>
  <si>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</si>
  <si>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</si>
  <si>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</si>
  <si>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</si>
  <si>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</si>
  <si>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</si>
  <si>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</si>
  <si>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</si>
  <si>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</si>
  <si>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</si>
  <si>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</si>
  <si>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</si>
  <si>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</si>
  <si>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</si>
  <si>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</si>
  <si>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</si>
  <si>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</si>
  <si>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</si>
  <si>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</si>
  <si>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</si>
  <si>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</si>
  <si>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</si>
  <si>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</si>
  <si>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</si>
  <si>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</si>
  <si>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</si>
  <si>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</si>
  <si>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</si>
  <si>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</si>
  <si>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</si>
  <si>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</si>
  <si>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</si>
  <si>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</si>
  <si>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</si>
  <si>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</si>
  <si>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</si>
  <si>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</si>
  <si>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</si>
  <si>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</si>
  <si>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</si>
  <si>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</si>
  <si>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</si>
  <si>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</si>
  <si>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</si>
  <si>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</si>
  <si>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</si>
  <si>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</si>
  <si>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</si>
  <si>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</si>
  <si>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</si>
  <si>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</si>
  <si>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</si>
  <si>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</si>
  <si>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</si>
  <si>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</si>
  <si>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</si>
  <si>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</si>
  <si>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</si>
  <si>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</si>
  <si>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</si>
  <si>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</si>
  <si>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</si>
  <si>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</si>
  <si>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</si>
  <si>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</si>
  <si>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</si>
  <si>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</si>
  <si>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</si>
  <si>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</si>
  <si>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</si>
  <si>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</si>
  <si>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</si>
  <si>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</si>
  <si>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</si>
  <si>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</si>
  <si>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</si>
  <si>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</si>
  <si>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</si>
  <si>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</si>
  <si>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</si>
  <si>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</si>
  <si>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</si>
  <si>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</si>
  <si>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</si>
  <si>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</si>
  <si>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</si>
  <si>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</si>
  <si>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</si>
  <si>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</si>
  <si>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</si>
  <si>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</si>
  <si>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</si>
  <si>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</si>
  <si>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</si>
  <si>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</si>
  <si>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</si>
  <si>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</si>
  <si>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</si>
  <si>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</si>
  <si>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</si>
  <si>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</si>
  <si>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</si>
  <si>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</si>
  <si>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</si>
  <si>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</si>
  <si>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</si>
  <si>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</si>
  <si>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</si>
  <si>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</si>
  <si>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</si>
  <si>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</si>
  <si>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</si>
  <si>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</si>
  <si>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</si>
  <si>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</si>
  <si>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</si>
  <si>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</si>
  <si>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</si>
  <si>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</si>
  <si>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</si>
  <si>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</si>
  <si>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</si>
  <si>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</si>
  <si>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</si>
  <si>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</si>
  <si>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</si>
  <si>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</si>
  <si>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</si>
  <si>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</si>
  <si>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</si>
  <si>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</si>
  <si>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</si>
  <si>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</si>
  <si>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</si>
  <si>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</si>
  <si>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</si>
  <si>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</si>
  <si>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</si>
  <si>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</si>
  <si>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</si>
  <si>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</si>
  <si>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</si>
  <si>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</si>
  <si>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</si>
  <si>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</si>
  <si>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</si>
  <si>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</si>
  <si>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</si>
  <si>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</si>
  <si>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</si>
  <si>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</si>
  <si>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</si>
  <si>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</si>
  <si>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</si>
  <si>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</si>
  <si>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</si>
  <si>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</si>
  <si>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</si>
  <si>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</si>
  <si>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</si>
  <si>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</si>
  <si>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</si>
  <si>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</si>
  <si>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</si>
  <si>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</si>
  <si>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</si>
  <si>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</si>
  <si>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</si>
  <si>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</si>
  <si>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</si>
  <si>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</si>
  <si>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</si>
  <si>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</si>
  <si>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</si>
  <si>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</si>
  <si>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</si>
  <si>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</si>
  <si>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</si>
  <si>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</si>
  <si>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</si>
  <si>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</si>
  <si>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</si>
  <si>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</si>
  <si>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</si>
  <si>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</si>
  <si>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</si>
  <si>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</si>
  <si>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</si>
  <si>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</si>
  <si>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</si>
  <si>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</si>
  <si>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</si>
  <si>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</si>
  <si>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</si>
  <si>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</si>
  <si>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</si>
  <si>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</si>
  <si>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</si>
  <si>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</si>
  <si>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</si>
  <si>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</si>
  <si>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</si>
  <si>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</si>
  <si>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</si>
  <si>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</si>
  <si>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</si>
  <si>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</si>
  <si>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</si>
  <si>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</si>
  <si>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</si>
  <si>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</si>
  <si>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</si>
  <si>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</si>
  <si>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</si>
  <si>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</si>
  <si>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</si>
  <si>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</si>
  <si>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</si>
  <si>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</si>
  <si>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</si>
  <si>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</si>
  <si>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</si>
  <si>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</si>
  <si>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</si>
  <si>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</si>
  <si>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</si>
  <si>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</si>
  <si>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</si>
  <si>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</si>
  <si>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</si>
  <si>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</si>
  <si>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</si>
  <si>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</si>
  <si>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</si>
  <si>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</si>
  <si>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</si>
  <si>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</si>
  <si>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</si>
  <si>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</si>
  <si>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</si>
  <si>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</si>
  <si>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</si>
  <si>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</si>
  <si>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</si>
  <si>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</si>
  <si>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</si>
  <si>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</si>
  <si>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</si>
  <si>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</si>
  <si>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</si>
  <si>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</si>
  <si>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</si>
  <si>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</si>
  <si>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</si>
  <si>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</si>
  <si>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</si>
  <si>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</si>
  <si>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</si>
  <si>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</si>
  <si>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</si>
  <si>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</si>
  <si>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</si>
  <si>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</si>
  <si>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</si>
  <si>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</si>
  <si>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</si>
  <si>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</si>
  <si>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</si>
  <si>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</si>
  <si>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</si>
  <si>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</si>
  <si>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</si>
  <si>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</si>
  <si>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</si>
  <si>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</si>
  <si>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</si>
  <si>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</si>
  <si>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</si>
  <si>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</si>
  <si>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</si>
  <si>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</si>
  <si>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</si>
  <si>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</si>
  <si>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</si>
  <si>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</si>
  <si>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</si>
  <si>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</si>
  <si>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</si>
  <si>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</si>
  <si>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</si>
  <si>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</si>
  <si>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</si>
  <si>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</si>
  <si>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</si>
  <si>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</si>
  <si>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</si>
  <si>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</si>
  <si>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</si>
  <si>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</si>
  <si>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</si>
  <si>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</si>
  <si>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</si>
  <si>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</si>
  <si>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</si>
  <si>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</si>
  <si>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</si>
  <si>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</si>
  <si>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</si>
  <si>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</si>
  <si>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</si>
  <si>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</si>
  <si>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</si>
  <si>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</si>
  <si>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</si>
  <si>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</si>
  <si>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</si>
  <si>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</si>
  <si>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</si>
  <si>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</si>
  <si>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</si>
  <si>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</si>
  <si>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</si>
  <si>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</si>
  <si>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</si>
  <si>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</si>
  <si>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</si>
  <si>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</si>
  <si>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</si>
  <si>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</si>
  <si>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</si>
  <si>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</si>
  <si>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</si>
  <si>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</si>
  <si>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</si>
  <si>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</si>
  <si>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</si>
  <si>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</si>
  <si>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</si>
  <si>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</si>
  <si>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</si>
  <si>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</si>
  <si>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</si>
  <si>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</si>
  <si>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</si>
  <si>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</si>
  <si>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</si>
  <si>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</si>
  <si>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</si>
  <si>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</si>
  <si>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</si>
  <si>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</si>
  <si>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</si>
  <si>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</si>
  <si>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</si>
  <si>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</si>
  <si>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</si>
  <si>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</si>
  <si>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</si>
  <si>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</si>
  <si>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</si>
  <si>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</si>
  <si>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</si>
  <si>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</si>
  <si>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</si>
  <si>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</si>
  <si>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</si>
  <si>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</si>
  <si>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</si>
  <si>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</si>
  <si>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</si>
  <si>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</si>
  <si>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</si>
  <si>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</si>
  <si>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</si>
  <si>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</si>
  <si>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</si>
  <si>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</si>
  <si>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</si>
  <si>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</si>
  <si>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</si>
  <si>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</si>
  <si>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</si>
  <si>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</si>
  <si>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</si>
  <si>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</si>
  <si>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</si>
  <si>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</si>
  <si>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</si>
  <si>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</si>
  <si>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</si>
  <si>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</si>
  <si>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</si>
  <si>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</si>
  <si>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</si>
  <si>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</si>
  <si>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</si>
  <si>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</si>
  <si>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</si>
  <si>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</si>
  <si>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</si>
  <si>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</si>
  <si>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</si>
  <si>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</si>
  <si>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</si>
  <si>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</si>
  <si>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</si>
  <si>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</si>
  <si>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</si>
  <si>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</si>
  <si>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</si>
  <si>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</si>
  <si>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</si>
  <si>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</si>
  <si>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</si>
  <si>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</si>
  <si>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</si>
  <si>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</si>
  <si>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</si>
  <si>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</si>
  <si>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</si>
  <si>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</si>
  <si>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</si>
  <si>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</si>
  <si>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</si>
  <si>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</si>
  <si>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</si>
  <si>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</si>
  <si>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</si>
  <si>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</si>
  <si>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</si>
  <si>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</si>
  <si>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</si>
  <si>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</si>
  <si>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</si>
  <si>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</si>
  <si>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</si>
  <si>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</si>
  <si>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</si>
  <si>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</si>
  <si>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</si>
  <si>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</si>
  <si>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</si>
  <si>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</si>
  <si>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</si>
  <si>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</si>
  <si>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</si>
  <si>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</si>
  <si>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</si>
  <si>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</si>
  <si>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</si>
  <si>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</si>
  <si>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</si>
  <si>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</si>
  <si>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</si>
  <si>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</si>
  <si>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</si>
  <si>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</si>
  <si>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</si>
  <si>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</si>
  <si>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</si>
  <si>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</si>
  <si>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</si>
  <si>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</si>
  <si>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</si>
  <si>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</si>
  <si>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</si>
  <si>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</si>
  <si>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</si>
  <si>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</si>
  <si>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</si>
  <si>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</si>
  <si>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</si>
  <si>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</si>
  <si>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</si>
  <si>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</si>
  <si>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</si>
  <si>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</si>
  <si>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</si>
  <si>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</si>
  <si>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</si>
  <si>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</si>
  <si>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</si>
  <si>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</si>
  <si>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</si>
  <si>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</si>
  <si>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</si>
  <si>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</si>
  <si>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</si>
  <si>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</si>
  <si>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</si>
  <si>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</si>
  <si>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</si>
  <si>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</si>
  <si>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</si>
  <si>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</si>
  <si>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</si>
  <si>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</si>
  <si>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</si>
  <si>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</si>
  <si>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</si>
  <si>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</si>
  <si>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</si>
  <si>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</si>
  <si>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</si>
  <si>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</si>
  <si>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</si>
  <si>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</si>
  <si>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</si>
  <si>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</si>
  <si>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</si>
  <si>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</si>
  <si>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</si>
  <si>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</si>
  <si>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</si>
  <si>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</si>
  <si>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</si>
  <si>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</si>
  <si>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</si>
  <si>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</si>
  <si>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</si>
  <si>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</si>
  <si>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</si>
  <si>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</si>
  <si>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</si>
  <si>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</si>
  <si>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</si>
  <si>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</si>
  <si>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</si>
  <si>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</si>
  <si>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</si>
  <si>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</si>
  <si>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</si>
  <si>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</si>
  <si>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</si>
  <si>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</si>
  <si>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</si>
  <si>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</si>
  <si>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</si>
  <si>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</si>
  <si>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</si>
  <si>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</si>
  <si>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</si>
  <si>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</si>
  <si>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</si>
  <si>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</si>
  <si>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</si>
  <si>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</si>
  <si>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</si>
  <si>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</si>
  <si>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</si>
  <si>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</si>
  <si>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</si>
  <si>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</si>
  <si>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</si>
  <si>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</si>
  <si>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</si>
  <si>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</si>
  <si>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</si>
  <si>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</si>
  <si>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</si>
  <si>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</si>
  <si>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</si>
  <si>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</si>
  <si>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</si>
  <si>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</si>
  <si>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</si>
  <si>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</si>
  <si>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</si>
  <si>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</si>
  <si>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</si>
  <si>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</si>
  <si>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</si>
  <si>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</si>
  <si>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</si>
  <si>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</si>
  <si>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</si>
  <si>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</si>
  <si>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</si>
  <si>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</si>
  <si>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</si>
  <si>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</si>
  <si>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</si>
  <si>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</si>
  <si>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</si>
  <si>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</si>
  <si>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</si>
  <si>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</si>
  <si>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</si>
  <si>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</si>
  <si>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</si>
  <si>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</si>
  <si>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</si>
  <si>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</si>
  <si>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</si>
  <si>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</si>
  <si>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</si>
  <si>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</si>
  <si>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</si>
  <si>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</si>
  <si>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</si>
  <si>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</si>
  <si>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</si>
  <si>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</si>
  <si>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</si>
  <si>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</si>
  <si>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</si>
  <si>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</si>
  <si>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</si>
  <si>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</si>
  <si>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</si>
  <si>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</si>
  <si>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</si>
  <si>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</si>
  <si>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</si>
  <si>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</si>
  <si>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</si>
  <si>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</si>
  <si>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</si>
  <si>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</si>
  <si>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</si>
  <si>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</si>
  <si>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</si>
  <si>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</si>
  <si>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</si>
  <si>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</si>
  <si>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</si>
  <si>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</si>
  <si>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</si>
  <si>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</si>
  <si>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</si>
  <si>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</si>
  <si>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</si>
  <si>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</si>
  <si>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</si>
  <si>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</si>
  <si>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</si>
  <si>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</si>
  <si>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</si>
  <si>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</si>
  <si>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</si>
  <si>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</si>
  <si>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</si>
  <si>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</si>
  <si>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</si>
  <si>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</si>
  <si>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</si>
  <si>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</si>
  <si>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</si>
  <si>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</si>
  <si>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</si>
  <si>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</si>
  <si>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</si>
  <si>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</si>
  <si>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</si>
  <si>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</si>
  <si>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</si>
  <si>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</si>
  <si>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</si>
  <si>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</si>
  <si>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</si>
  <si>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</si>
  <si>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</si>
  <si>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</si>
  <si>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</si>
  <si>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</si>
  <si>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</si>
  <si>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</si>
  <si>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</si>
  <si>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</si>
  <si>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</si>
  <si>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</si>
  <si>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</si>
  <si>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</si>
  <si>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</si>
  <si>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</si>
  <si>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</si>
  <si>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</si>
  <si>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</si>
  <si>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</si>
  <si>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</si>
  <si>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</si>
  <si>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</si>
  <si>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</si>
  <si>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</si>
  <si>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</si>
  <si>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</si>
  <si>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</si>
  <si>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</si>
  <si>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</si>
  <si>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</si>
  <si>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</si>
  <si>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</si>
  <si>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</si>
  <si>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</si>
  <si>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</si>
  <si>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</si>
  <si>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</si>
  <si>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</si>
  <si>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</si>
  <si>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</si>
  <si>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</si>
  <si>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</si>
  <si>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</si>
  <si>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</si>
  <si>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</si>
  <si>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</si>
  <si>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</si>
  <si>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</si>
  <si>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</si>
  <si>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</si>
  <si>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</si>
  <si>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</si>
  <si>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</si>
  <si>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</si>
  <si>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</si>
  <si>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</si>
  <si>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</si>
  <si>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</si>
  <si>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</si>
  <si>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</si>
  <si>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</si>
  <si>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</si>
  <si>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</si>
  <si>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</si>
  <si>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</si>
  <si>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</si>
  <si>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</si>
  <si>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</si>
  <si>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</si>
  <si>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</si>
  <si>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</si>
  <si>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</si>
  <si>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</si>
  <si>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</si>
  <si>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</si>
  <si>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</si>
  <si>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</si>
  <si>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</si>
  <si>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</si>
  <si>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</si>
  <si>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</si>
  <si>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</si>
  <si>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</si>
  <si>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</si>
  <si>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</si>
  <si>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</si>
  <si>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</si>
  <si>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</si>
  <si>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</si>
  <si>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</si>
  <si>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</si>
  <si>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</si>
  <si>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</si>
  <si>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</si>
  <si>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</si>
  <si>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</si>
  <si>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</si>
  <si>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</si>
  <si>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</si>
  <si>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</si>
  <si>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</si>
  <si>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</si>
  <si>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</si>
  <si>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</si>
  <si>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</si>
  <si>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</si>
  <si>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</si>
  <si>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</si>
  <si>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</si>
  <si>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</si>
  <si>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</si>
  <si>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</si>
  <si>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</si>
  <si>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</si>
  <si>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</si>
  <si>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</si>
  <si>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</si>
  <si>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</si>
  <si>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</si>
  <si>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</si>
  <si>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</si>
  <si>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</si>
  <si>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</si>
  <si>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</si>
  <si>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</si>
  <si>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</si>
  <si>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</si>
  <si>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</si>
  <si>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</si>
  <si>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</si>
  <si>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</si>
  <si>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</si>
  <si>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</si>
  <si>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</si>
  <si>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</si>
  <si>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</si>
  <si>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</si>
  <si>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</si>
  <si>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</si>
  <si>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</si>
  <si>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</si>
  <si>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</si>
  <si>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</si>
  <si>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</si>
  <si>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</si>
  <si>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</si>
  <si>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</si>
  <si>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</si>
  <si>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</si>
  <si>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</si>
  <si>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</si>
  <si>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</si>
  <si>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</si>
  <si>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</si>
  <si>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</si>
  <si>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</si>
  <si>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</si>
  <si>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</si>
  <si>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</si>
  <si>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</si>
  <si>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</si>
  <si>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</si>
  <si>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</si>
  <si>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</si>
  <si>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</si>
  <si>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</si>
  <si>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</si>
  <si>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</si>
  <si>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</si>
  <si>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</si>
  <si>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</si>
  <si>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</si>
  <si>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</si>
  <si>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</si>
  <si>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</si>
  <si>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</si>
  <si>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</si>
  <si>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</si>
  <si>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</si>
  <si>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</si>
  <si>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</si>
  <si>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</si>
  <si>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</si>
  <si>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</si>
  <si>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</si>
  <si>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</si>
  <si>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</si>
  <si>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</si>
  <si>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</si>
  <si>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</si>
  <si>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</si>
  <si>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</si>
  <si>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</si>
  <si>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</si>
  <si>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</si>
  <si>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</si>
  <si>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</si>
  <si>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</si>
  <si>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</si>
  <si>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</si>
  <si>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</si>
  <si>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</si>
  <si>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</si>
  <si>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</si>
  <si>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</si>
  <si>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</si>
  <si>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</si>
  <si>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</si>
  <si>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</si>
  <si>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</si>
  <si>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</si>
  <si>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</si>
  <si>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</si>
  <si>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</si>
  <si>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</si>
  <si>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</si>
  <si>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</si>
  <si>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</si>
  <si>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</si>
  <si>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</si>
  <si>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</si>
  <si>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</si>
  <si>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</si>
  <si>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</si>
  <si>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</si>
  <si>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</si>
  <si>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</si>
  <si>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</si>
  <si>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</si>
  <si>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</si>
  <si>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</si>
  <si>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</si>
  <si>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</si>
  <si>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</si>
  <si>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</si>
  <si>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</si>
  <si>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</si>
  <si>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</si>
  <si>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</si>
  <si>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</si>
  <si>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</si>
  <si>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</si>
  <si>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</si>
  <si>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</si>
  <si>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</si>
  <si>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</si>
  <si>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</si>
  <si>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</si>
  <si>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</si>
  <si>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</si>
  <si>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</si>
  <si>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</si>
  <si>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</si>
  <si>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</si>
  <si>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</si>
  <si>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</si>
  <si>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</si>
  <si>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</si>
  <si>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</si>
  <si>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</si>
  <si>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</si>
  <si>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</si>
  <si>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</si>
  <si>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</si>
  <si>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</si>
  <si>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</si>
  <si>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</si>
  <si>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</si>
  <si>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</si>
  <si>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</si>
  <si>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</si>
  <si>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</si>
  <si>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</si>
  <si>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</si>
  <si>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</si>
  <si>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</si>
  <si>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</si>
  <si>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</si>
  <si>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</si>
  <si>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</si>
  <si>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</si>
  <si>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</si>
  <si>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</si>
  <si>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</si>
  <si>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</si>
  <si>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</si>
  <si>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</si>
  <si>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</si>
  <si>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</si>
  <si>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</si>
  <si>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</si>
  <si>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</si>
  <si>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</si>
  <si>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</si>
  <si>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</si>
  <si>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</si>
  <si>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</si>
  <si>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</si>
  <si>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</si>
  <si>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</si>
  <si>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</si>
  <si>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</si>
  <si>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</si>
  <si>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</si>
  <si>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</si>
  <si>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</si>
  <si>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</si>
  <si>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</si>
  <si>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</si>
  <si>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</si>
  <si>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</si>
  <si>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</si>
  <si>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</si>
  <si>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</si>
  <si>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</si>
  <si>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</si>
  <si>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</si>
  <si>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</si>
  <si>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</si>
  <si>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</si>
  <si>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</si>
  <si>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</si>
  <si>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</si>
  <si>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</si>
  <si>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</si>
  <si>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</si>
  <si>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</si>
  <si>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</si>
  <si>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</si>
  <si>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</si>
  <si>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</si>
  <si>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</si>
  <si>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</si>
  <si>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</si>
  <si>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</si>
  <si>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</si>
  <si>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</si>
  <si>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</si>
  <si>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</si>
  <si>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</si>
  <si>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</si>
  <si>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</si>
  <si>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</si>
  <si>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</si>
  <si>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</si>
  <si>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</si>
  <si>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</si>
  <si>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</si>
  <si>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</si>
  <si>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</si>
  <si>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</si>
  <si>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</si>
  <si>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</si>
  <si>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</si>
  <si>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</si>
  <si>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</si>
  <si>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</si>
  <si>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</si>
  <si>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</si>
  <si>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</si>
  <si>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</si>
  <si>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</si>
  <si>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</si>
  <si>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</si>
  <si>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</si>
  <si>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</si>
  <si>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</si>
  <si>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</si>
  <si>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</si>
  <si>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</si>
  <si>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</si>
  <si>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</si>
  <si>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</si>
  <si>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</si>
  <si>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</si>
  <si>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</si>
  <si>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</si>
  <si>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</si>
  <si>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</si>
  <si>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</si>
  <si>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</si>
  <si>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</si>
  <si>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</si>
  <si>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</si>
  <si>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</si>
  <si>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</si>
  <si>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</si>
  <si>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</si>
  <si>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</si>
  <si>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</si>
  <si>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</si>
  <si>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</si>
  <si>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</si>
  <si>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</si>
  <si>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</si>
  <si>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</si>
  <si>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</si>
  <si>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</si>
  <si>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</si>
  <si>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</si>
  <si>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</si>
  <si>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</si>
  <si>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</si>
  <si>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</si>
  <si>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</si>
  <si>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</si>
  <si>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</si>
  <si>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</si>
  <si>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</si>
  <si>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</si>
  <si>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</si>
  <si>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</si>
  <si>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</si>
  <si>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</si>
  <si>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</si>
  <si>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</si>
  <si>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</si>
  <si>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</si>
  <si>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</si>
  <si>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</si>
  <si>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</si>
  <si>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</si>
  <si>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</si>
  <si>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</si>
  <si>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</si>
  <si>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</si>
  <si>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</si>
  <si>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</si>
  <si>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</si>
  <si>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</si>
  <si>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</si>
  <si>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</si>
  <si>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</si>
  <si>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</si>
  <si>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</si>
  <si>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</si>
  <si>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</si>
  <si>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</si>
  <si>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</si>
  <si>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</si>
  <si>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</si>
  <si>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</si>
  <si>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</si>
  <si>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</si>
  <si>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</si>
  <si>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</si>
  <si>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</si>
  <si>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</si>
  <si>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</si>
  <si>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</si>
  <si>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</si>
  <si>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</si>
  <si>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</si>
  <si>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</si>
  <si>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</si>
  <si>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</si>
  <si>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</si>
  <si>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</si>
  <si>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</si>
  <si>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</si>
  <si>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</si>
  <si>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</si>
  <si>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</si>
  <si>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</si>
  <si>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</si>
  <si>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</si>
  <si>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</si>
  <si>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</si>
  <si>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</si>
  <si>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</si>
  <si>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</si>
  <si>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</si>
  <si>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</si>
  <si>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</si>
  <si>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</si>
  <si>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</si>
  <si>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</si>
  <si>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</si>
  <si>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</si>
  <si>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</si>
  <si>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</si>
  <si>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</si>
  <si>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</si>
  <si>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</si>
  <si>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</si>
  <si>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</si>
  <si>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</si>
  <si>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</si>
  <si>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</si>
  <si>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</si>
  <si>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</si>
  <si>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</si>
  <si>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</si>
  <si>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</si>
  <si>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</si>
  <si>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</si>
  <si>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</si>
  <si>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</si>
  <si>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</si>
  <si>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</si>
  <si>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</si>
  <si>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</si>
  <si>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</si>
  <si>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</si>
  <si>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</si>
  <si>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</si>
  <si>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</si>
  <si>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</si>
  <si>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</si>
  <si>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</si>
  <si>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</si>
  <si>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</si>
  <si>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</si>
  <si>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</si>
  <si>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</si>
  <si>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</si>
  <si>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</si>
  <si>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</si>
  <si>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</si>
  <si>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</si>
  <si>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</si>
  <si>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</si>
  <si>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</si>
  <si>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</si>
  <si>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</si>
  <si>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</si>
  <si>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</si>
  <si>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</si>
  <si>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</si>
  <si>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</si>
  <si>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</si>
  <si>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</si>
  <si>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</si>
  <si>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</si>
  <si>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</si>
  <si>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</si>
  <si>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</si>
  <si>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</si>
  <si>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</si>
  <si>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</si>
  <si>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</si>
  <si>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</si>
  <si>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</si>
  <si>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</si>
  <si>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</si>
  <si>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</si>
  <si>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</si>
  <si>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</si>
  <si>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</si>
  <si>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</si>
  <si>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</si>
  <si>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</si>
  <si>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</si>
  <si>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</si>
  <si>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</si>
  <si>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</si>
  <si>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</si>
  <si>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</si>
  <si>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</si>
  <si>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</si>
  <si>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</si>
  <si>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</si>
  <si>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</si>
  <si>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</si>
  <si>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</si>
  <si>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</si>
  <si>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</si>
  <si>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</si>
  <si>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</si>
  <si>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</si>
  <si>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</si>
  <si>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</si>
  <si>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</si>
  <si>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</si>
  <si>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</si>
  <si>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</si>
  <si>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</si>
  <si>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</si>
  <si>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</si>
  <si>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</si>
  <si>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</si>
  <si>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</si>
  <si>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</si>
  <si>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</si>
  <si>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</si>
  <si>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</si>
  <si>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</si>
  <si>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</si>
  <si>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</si>
  <si>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</si>
  <si>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</si>
  <si>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</si>
  <si>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</si>
  <si>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</si>
  <si>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</si>
  <si>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</si>
  <si>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</si>
  <si>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</si>
  <si>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</si>
  <si>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</si>
  <si>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</si>
  <si>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</si>
  <si>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</si>
  <si>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</si>
  <si>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</si>
  <si>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</si>
  <si>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</si>
  <si>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</si>
  <si>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</si>
  <si>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</si>
  <si>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</si>
  <si>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</si>
  <si>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</si>
  <si>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</si>
  <si>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</si>
  <si>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</si>
  <si>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</si>
  <si>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</si>
  <si>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</si>
  <si>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</si>
  <si>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</si>
  <si>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</si>
  <si>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</si>
  <si>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</si>
  <si>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</si>
  <si>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</si>
  <si>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</si>
  <si>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</si>
  <si>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</si>
  <si>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</si>
  <si>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</si>
  <si>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</si>
  <si>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</si>
  <si>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</si>
  <si>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</si>
  <si>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</si>
  <si>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</si>
  <si>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</si>
  <si>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</si>
  <si>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</si>
  <si>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</si>
  <si>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</si>
  <si>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</si>
  <si>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</si>
  <si>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</si>
  <si>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</si>
  <si>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</si>
  <si>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</si>
  <si>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</si>
  <si>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</si>
  <si>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</si>
  <si>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</si>
  <si>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</si>
  <si>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</si>
  <si>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</si>
  <si>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</si>
  <si>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</si>
  <si>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</si>
  <si>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</si>
  <si>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</si>
  <si>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</si>
  <si>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</si>
  <si>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</si>
  <si>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</si>
  <si>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</si>
  <si>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</si>
  <si>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</si>
  <si>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</si>
  <si>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</si>
  <si>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</si>
  <si>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</si>
  <si>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</si>
  <si>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</si>
  <si>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</si>
  <si>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</si>
  <si>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</si>
  <si>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</si>
  <si>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</si>
  <si>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</si>
  <si>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</si>
  <si>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</si>
  <si>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</si>
  <si>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</si>
  <si>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</si>
  <si>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</si>
  <si>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</si>
  <si>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</si>
  <si>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</si>
  <si>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</si>
  <si>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</si>
  <si>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</si>
  <si>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</si>
  <si>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</si>
  <si>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</si>
  <si>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</si>
  <si>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</si>
  <si>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</si>
  <si>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</si>
  <si>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</si>
  <si>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</si>
  <si>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</si>
  <si>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</si>
  <si>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</si>
  <si>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</si>
  <si>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</si>
  <si>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</si>
  <si>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</si>
  <si>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</si>
  <si>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</si>
  <si>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</si>
  <si>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</si>
  <si>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</si>
  <si>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</si>
  <si>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</si>
  <si>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</si>
  <si>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</si>
  <si>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</si>
  <si>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</si>
  <si>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</si>
  <si>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</si>
  <si>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</si>
  <si>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</si>
  <si>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</si>
  <si>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</si>
  <si>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</si>
  <si>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</si>
  <si>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</si>
  <si>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</si>
  <si>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</si>
  <si>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</si>
  <si>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</si>
  <si>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</si>
  <si>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</si>
  <si>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</si>
  <si>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</si>
  <si>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</si>
  <si>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</si>
  <si>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</si>
  <si>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</si>
  <si>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</si>
  <si>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</si>
  <si>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</si>
  <si>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</si>
  <si>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</si>
  <si>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</si>
  <si>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</si>
  <si>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</si>
  <si>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</si>
  <si>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</si>
  <si>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</si>
  <si>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</si>
  <si>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</si>
  <si>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</si>
  <si>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</si>
  <si>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</si>
  <si>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</si>
  <si>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</si>
  <si>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</si>
  <si>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</si>
  <si>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</si>
  <si>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</si>
  <si>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</si>
  <si>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</si>
  <si>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</si>
  <si>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</si>
  <si>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</si>
  <si>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</si>
  <si>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</si>
  <si>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</si>
  <si>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</si>
  <si>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</si>
  <si>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</si>
  <si>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</si>
  <si>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</si>
  <si>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</si>
  <si>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</si>
  <si>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</si>
  <si>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</si>
  <si>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</si>
  <si>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</si>
  <si>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</si>
  <si>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</si>
  <si>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</si>
  <si>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</si>
  <si>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</si>
  <si>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</si>
  <si>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</si>
  <si>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</si>
  <si>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</si>
  <si>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</si>
  <si>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</si>
  <si>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</si>
  <si>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</si>
  <si>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</si>
  <si>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</si>
  <si>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</si>
  <si>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</si>
  <si>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</si>
  <si>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</si>
  <si>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</si>
  <si>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</si>
  <si>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</si>
  <si>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</si>
  <si>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</si>
  <si>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</si>
  <si>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</si>
  <si>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</si>
  <si>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</si>
  <si>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</si>
  <si>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</si>
  <si>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</si>
  <si>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</si>
  <si>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</si>
  <si>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</si>
  <si>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</si>
  <si>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</si>
  <si>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</si>
  <si>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</si>
  <si>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</si>
  <si>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</si>
  <si>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</si>
  <si>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</si>
  <si>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</si>
  <si>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</si>
  <si>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</si>
  <si>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</si>
  <si>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</si>
  <si>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</si>
  <si>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</si>
  <si>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</si>
  <si>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</si>
  <si>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</si>
  <si>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</si>
  <si>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</si>
  <si>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</si>
  <si>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</si>
  <si>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</si>
  <si>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</si>
  <si>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</si>
  <si>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</si>
  <si>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</si>
  <si>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</si>
  <si>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</si>
  <si>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</si>
  <si>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</si>
  <si>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</si>
  <si>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</si>
  <si>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</si>
  <si>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</si>
  <si>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</si>
  <si>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</si>
  <si>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</si>
  <si>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</si>
  <si>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</si>
  <si>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</si>
  <si>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</si>
  <si>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</si>
  <si>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</si>
  <si>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</si>
  <si>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</si>
  <si>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</si>
  <si>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</si>
  <si>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</si>
  <si>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</si>
  <si>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</si>
  <si>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</si>
  <si>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</si>
  <si>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</si>
  <si>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</si>
  <si>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</si>
  <si>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</si>
  <si>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</si>
  <si>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</si>
  <si>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</si>
  <si>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</si>
  <si>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</si>
  <si>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</si>
  <si>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</si>
  <si>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</si>
  <si>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</si>
  <si>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</si>
  <si>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</si>
  <si>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</si>
  <si>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</si>
  <si>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</si>
  <si>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</si>
  <si>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</si>
  <si>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</si>
  <si>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</si>
  <si>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</si>
  <si>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</si>
  <si>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</si>
  <si>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</si>
  <si>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</si>
  <si>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</si>
  <si>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</si>
  <si>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</si>
  <si>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</si>
  <si>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</si>
  <si>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</si>
  <si>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</si>
  <si>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</si>
  <si>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</si>
  <si>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</si>
  <si>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</si>
  <si>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</si>
  <si>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</si>
  <si>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</si>
  <si>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</si>
  <si>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</si>
  <si>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</si>
  <si>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</si>
  <si>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</si>
  <si>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</si>
  <si>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</si>
  <si>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</si>
  <si>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</si>
  <si>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</si>
  <si>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</si>
  <si>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</si>
  <si>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</si>
  <si>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</si>
  <si>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</si>
  <si>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</si>
  <si>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</si>
  <si>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</si>
  <si>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</si>
  <si>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</si>
  <si>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</si>
  <si>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</si>
  <si>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</si>
  <si>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</si>
  <si>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</si>
  <si>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</si>
  <si>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</si>
  <si>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</si>
  <si>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</si>
  <si>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</si>
  <si>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</si>
  <si>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</si>
  <si>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</si>
  <si>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</si>
  <si>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</si>
  <si>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</si>
  <si>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</si>
  <si>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</si>
  <si>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</si>
  <si>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</si>
  <si>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</si>
  <si>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</si>
  <si>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</si>
  <si>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</si>
  <si>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</si>
  <si>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</si>
  <si>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</si>
  <si>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</si>
  <si>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</si>
  <si>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</si>
  <si>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</si>
  <si>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</si>
  <si>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</si>
  <si>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</si>
  <si>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</si>
  <si>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</si>
  <si>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</si>
  <si>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</si>
  <si>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</si>
  <si>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</si>
  <si>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</si>
  <si>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</si>
  <si>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</si>
  <si>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</si>
  <si>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</si>
  <si>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</si>
  <si>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</si>
  <si>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</si>
  <si>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</si>
  <si>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</si>
  <si>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</si>
  <si>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</si>
  <si>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</si>
  <si>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</si>
  <si>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</si>
  <si>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</si>
  <si>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</si>
  <si>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</si>
  <si>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</si>
  <si>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</si>
  <si>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</si>
  <si>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</si>
  <si>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</si>
  <si>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</si>
  <si>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</si>
  <si>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</si>
  <si>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</si>
  <si>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</si>
  <si>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</si>
  <si>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</si>
  <si>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</si>
  <si>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</si>
  <si>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</si>
  <si>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</si>
  <si>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</si>
  <si>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</si>
  <si>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</si>
  <si>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</si>
  <si>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</si>
  <si>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</si>
  <si>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</si>
  <si>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</si>
  <si>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</si>
  <si>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</si>
  <si>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</si>
  <si>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</si>
  <si>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</si>
  <si>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</si>
  <si>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</si>
  <si>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</si>
  <si>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</si>
  <si>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</si>
  <si>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</si>
  <si>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</si>
  <si>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</si>
  <si>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</si>
  <si>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</si>
  <si>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</si>
  <si>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</si>
  <si>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</si>
  <si>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</si>
  <si>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</si>
  <si>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</si>
  <si>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</si>
  <si>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</si>
  <si>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</si>
  <si>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</si>
  <si>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</si>
  <si>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</si>
  <si>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</si>
  <si>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</si>
  <si>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</si>
  <si>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</si>
  <si>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</si>
  <si>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</si>
  <si>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</si>
  <si>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</si>
  <si>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</si>
  <si>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</si>
  <si>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</si>
  <si>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</si>
  <si>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</si>
  <si>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</si>
  <si>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</si>
  <si>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</si>
  <si>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</si>
  <si>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</si>
  <si>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</si>
  <si>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</si>
  <si>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</si>
  <si>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</si>
  <si>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</si>
  <si>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</si>
  <si>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</si>
  <si>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</si>
  <si>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</si>
  <si>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</si>
  <si>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</si>
  <si>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</si>
  <si>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</si>
  <si>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</si>
  <si>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</si>
  <si>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</si>
  <si>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</si>
  <si>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</si>
  <si>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</si>
  <si>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</si>
  <si>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</si>
  <si>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</si>
  <si>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</si>
  <si>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</si>
  <si>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</si>
  <si>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</si>
  <si>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</si>
  <si>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</si>
  <si>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</si>
  <si>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</si>
  <si>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</si>
  <si>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</si>
  <si>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</si>
  <si>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</si>
  <si>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</si>
  <si>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</si>
  <si>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</si>
  <si>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</si>
  <si>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</si>
  <si>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</si>
  <si>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</si>
  <si>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</si>
  <si>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</si>
  <si>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</si>
  <si>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</si>
  <si>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</si>
  <si>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</si>
  <si>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</si>
  <si>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</si>
  <si>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</si>
  <si>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</si>
  <si>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</si>
  <si>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</si>
  <si>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</si>
  <si>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</si>
  <si>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</si>
  <si>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</si>
  <si>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</si>
  <si>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</si>
  <si>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</si>
  <si>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</si>
  <si>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</si>
  <si>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</si>
  <si>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</si>
  <si>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</si>
  <si>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</si>
  <si>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</si>
  <si>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</si>
  <si>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</si>
  <si>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</si>
  <si>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</si>
  <si>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</si>
  <si>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</si>
  <si>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</si>
  <si>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</si>
  <si>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</si>
  <si>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</si>
  <si>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</si>
  <si>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</si>
  <si>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</si>
  <si>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</si>
  <si>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</si>
  <si>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</si>
  <si>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</si>
  <si>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</si>
  <si>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</si>
  <si>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</si>
  <si>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</si>
  <si>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</si>
  <si>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</si>
  <si>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</si>
  <si>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</si>
  <si>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</si>
  <si>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</si>
  <si>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</si>
  <si>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</si>
  <si>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</si>
  <si>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</si>
  <si>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</si>
  <si>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</si>
  <si>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</si>
  <si>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</si>
  <si>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</si>
  <si>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</si>
  <si>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</si>
  <si>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</si>
  <si>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</si>
  <si>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</si>
  <si>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</si>
  <si>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</si>
  <si>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</si>
  <si>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</si>
  <si>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</si>
  <si>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</si>
  <si>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</si>
  <si>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</si>
  <si>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</si>
  <si>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</si>
  <si>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</si>
  <si>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</si>
  <si>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</si>
  <si>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</si>
  <si>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</si>
  <si>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</si>
  <si>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</si>
  <si>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</si>
  <si>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</si>
  <si>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</si>
  <si>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</si>
  <si>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</si>
  <si>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</si>
  <si>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</si>
  <si>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</si>
  <si>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</si>
  <si>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</si>
  <si>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</si>
  <si>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</si>
  <si>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(All)</t>
  </si>
  <si>
    <t>Row Labels</t>
  </si>
  <si>
    <t>Grand Total</t>
  </si>
  <si>
    <t>Count of outcome</t>
  </si>
  <si>
    <t>Column Labels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</si>
  <si>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</si>
  <si>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</si>
  <si>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</si>
  <si>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</si>
  <si>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</si>
  <si>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</si>
  <si>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</si>
  <si>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</si>
  <si>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</si>
  <si>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</si>
  <si>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</si>
  <si>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</si>
  <si>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</si>
  <si>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</si>
  <si>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</si>
  <si>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</si>
  <si>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</si>
  <si>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</si>
  <si>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</si>
  <si>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</si>
  <si>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</si>
  <si>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</si>
  <si>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</si>
  <si>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</si>
  <si>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</si>
  <si>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</si>
  <si>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</si>
  <si>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</si>
  <si>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</si>
  <si>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</si>
  <si>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</si>
  <si>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</si>
  <si>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</si>
  <si>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</si>
  <si>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</si>
  <si>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</t>
  </si>
  <si>
    <t>median</t>
  </si>
  <si>
    <t>min</t>
  </si>
  <si>
    <t>max</t>
  </si>
  <si>
    <t>var</t>
  </si>
  <si>
    <t>std</t>
  </si>
  <si>
    <t>Successful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</si>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</sst>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  <font>
      <sz val="12"/>
      <color rgb="FF2B2B2B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ont="1"/>
    <xf numFmtId="14" fontId="18" fillId="0" borderId="0" xfId="0" applyNumberFormat="1" applyFont="1"/>
    <xf numFmtId="14" fontId="0" fillId="0" borderId="0" xfId="0" applyNumberFormat="1" applyAlignment="1">
      <alignment horizontal="left"/>
    </xf>
    <xf numFmtId="0" fontId="19" fillId="0" borderId="0" xfId="0" applyFont="1"/>
    <xf numFmtId="0" fontId="6" fillId="2" borderId="0" xfId="6"/>
    <xf numFmtId="0" fontId="7" fillId="3" borderId="0" xfId="7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A0C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A0C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A0C9"/>
        </patternFill>
      </fill>
    </dxf>
  </dxfs>
  <tableStyles count="0" defaultTableStyle="TableStyleMedium2" defaultPivotStyle="PivotStyleLight16"/>
  <colors>
    <mruColors>
      <color rgb="FFFFA0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1!PivotTable7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4-0240-B8F3-DC717B9E2CDF}"/>
            </c:ext>
          </c:extLst>
        </c:ser>
        <c:ser>
          <c:idx val="1"/>
          <c:order val="1"/>
          <c:tx>
            <c:strRef>
              <c:f>'Pivot Table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4-0240-B8F3-DC717B9E2CDF}"/>
            </c:ext>
          </c:extLst>
        </c:ser>
        <c:ser>
          <c:idx val="2"/>
          <c:order val="2"/>
          <c:tx>
            <c:strRef>
              <c:f>'Pivot Table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4-0240-B8F3-DC717B9E2CDF}"/>
            </c:ext>
          </c:extLst>
        </c:ser>
        <c:ser>
          <c:idx val="3"/>
          <c:order val="3"/>
          <c:tx>
            <c:strRef>
              <c:f>'Pivot Table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E4-0240-B8F3-DC717B9E2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3209151"/>
        <c:axId val="773668399"/>
      </c:barChart>
      <c:catAx>
        <c:axId val="77320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668399"/>
        <c:crosses val="autoZero"/>
        <c:auto val="1"/>
        <c:lblAlgn val="ctr"/>
        <c:lblOffset val="100"/>
        <c:noMultiLvlLbl val="0"/>
      </c:catAx>
      <c:valAx>
        <c:axId val="77366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209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2!PivotTable8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11651611033283"/>
          <c:y val="5.565217391304348E-2"/>
          <c:w val="0.87751268054683351"/>
          <c:h val="0.717516193084560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 2'!$B$3:$B$4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2-7241-BB2F-2AE4F6083A30}"/>
            </c:ext>
          </c:extLst>
        </c:ser>
        <c:ser>
          <c:idx val="1"/>
          <c:order val="1"/>
          <c:tx>
            <c:strRef>
              <c:f>'Pivot Table 2'!$C$3:$C$4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2-7241-BB2F-2AE4F6083A30}"/>
            </c:ext>
          </c:extLst>
        </c:ser>
        <c:ser>
          <c:idx val="2"/>
          <c:order val="2"/>
          <c:tx>
            <c:strRef>
              <c:f>'Pivot Table 2'!$D$3:$D$4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2-7241-BB2F-2AE4F6083A30}"/>
            </c:ext>
          </c:extLst>
        </c:ser>
        <c:ser>
          <c:idx val="3"/>
          <c:order val="3"/>
          <c:tx>
            <c:strRef>
              <c:f>'Pivot Table 2'!$E$3:$E$4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D2-7241-BB2F-2AE4F6083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8730495"/>
        <c:axId val="778767759"/>
      </c:barChart>
      <c:catAx>
        <c:axId val="77873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67759"/>
        <c:crosses val="autoZero"/>
        <c:auto val="1"/>
        <c:lblAlgn val="ctr"/>
        <c:lblOffset val="100"/>
        <c:noMultiLvlLbl val="0"/>
      </c:catAx>
      <c:valAx>
        <c:axId val="77876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30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 Table 3!PivotTable9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3'!$B$4:$B$5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ED-B446-A111-52D8D954073A}"/>
            </c:ext>
          </c:extLst>
        </c:ser>
        <c:ser>
          <c:idx val="1"/>
          <c:order val="1"/>
          <c:tx>
            <c:strRef>
              <c:f>'Pivot Table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ED-B446-A111-52D8D954073A}"/>
            </c:ext>
          </c:extLst>
        </c:ser>
        <c:ser>
          <c:idx val="2"/>
          <c:order val="2"/>
          <c:tx>
            <c:strRef>
              <c:f>'Pivot Table 3'!$D$4:$D$5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ED-B446-A111-52D8D954073A}"/>
            </c:ext>
          </c:extLst>
        </c:ser>
        <c:ser>
          <c:idx val="3"/>
          <c:order val="3"/>
          <c:tx>
            <c:strRef>
              <c:f>'Pivot Table 3'!$E$4:$E$5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ED-B446-A111-52D8D9540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6679567"/>
        <c:axId val="770781119"/>
      </c:lineChart>
      <c:catAx>
        <c:axId val="786679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781119"/>
        <c:crosses val="autoZero"/>
        <c:auto val="1"/>
        <c:lblAlgn val="ctr"/>
        <c:lblOffset val="100"/>
        <c:noMultiLvlLbl val="0"/>
      </c:catAx>
      <c:valAx>
        <c:axId val="77078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7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Chance of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General</c:formatCode>
                <c:ptCount val="12"/>
                <c:pt idx="0">
                  <c:v>59</c:v>
                </c:pt>
                <c:pt idx="1">
                  <c:v>83</c:v>
                </c:pt>
                <c:pt idx="2">
                  <c:v>52</c:v>
                </c:pt>
                <c:pt idx="3">
                  <c:v>44</c:v>
                </c:pt>
                <c:pt idx="4">
                  <c:v>100</c:v>
                </c:pt>
                <c:pt idx="5">
                  <c:v>100</c:v>
                </c:pt>
                <c:pt idx="6">
                  <c:v>79</c:v>
                </c:pt>
                <c:pt idx="7">
                  <c:v>100</c:v>
                </c:pt>
                <c:pt idx="8">
                  <c:v>67</c:v>
                </c:pt>
                <c:pt idx="9">
                  <c:v>79</c:v>
                </c:pt>
                <c:pt idx="10">
                  <c:v>73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9E-AF45-ABC3-D80560E474CC}"/>
            </c:ext>
          </c:extLst>
        </c:ser>
        <c:ser>
          <c:idx val="5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General</c:formatCode>
                <c:ptCount val="12"/>
                <c:pt idx="0">
                  <c:v>39</c:v>
                </c:pt>
                <c:pt idx="1">
                  <c:v>16</c:v>
                </c:pt>
                <c:pt idx="2">
                  <c:v>40</c:v>
                </c:pt>
                <c:pt idx="3">
                  <c:v>56</c:v>
                </c:pt>
                <c:pt idx="4">
                  <c:v>0</c:v>
                </c:pt>
                <c:pt idx="5">
                  <c:v>0</c:v>
                </c:pt>
                <c:pt idx="6">
                  <c:v>21</c:v>
                </c:pt>
                <c:pt idx="7">
                  <c:v>0</c:v>
                </c:pt>
                <c:pt idx="8">
                  <c:v>25</c:v>
                </c:pt>
                <c:pt idx="9">
                  <c:v>21</c:v>
                </c:pt>
                <c:pt idx="10">
                  <c:v>27</c:v>
                </c:pt>
                <c:pt idx="1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9E-AF45-ABC3-D80560E474CC}"/>
            </c:ext>
          </c:extLst>
        </c:ser>
        <c:ser>
          <c:idx val="6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9E-AF45-ABC3-D80560E4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8749487"/>
        <c:axId val="771056751"/>
      </c:lineChart>
      <c:catAx>
        <c:axId val="7787494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1056751"/>
        <c:crosses val="autoZero"/>
        <c:auto val="1"/>
        <c:lblAlgn val="ctr"/>
        <c:lblOffset val="100"/>
        <c:noMultiLvlLbl val="0"/>
      </c:catAx>
      <c:valAx>
        <c:axId val="77105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74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1</xdr:row>
      <xdr:rowOff>0</xdr:rowOff>
    </xdr:from>
    <xdr:to>
      <xdr:col>14</xdr:col>
      <xdr:colOff>393700</xdr:colOff>
      <xdr:row>17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F26233-B4C4-ED0F-43BB-2B6C66AA0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63500</xdr:rowOff>
    </xdr:from>
    <xdr:to>
      <xdr:col>18</xdr:col>
      <xdr:colOff>596900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63C23-4AD9-C253-C881-45282ECA5C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4</xdr:row>
      <xdr:rowOff>44450</xdr:rowOff>
    </xdr:from>
    <xdr:to>
      <xdr:col>12</xdr:col>
      <xdr:colOff>711200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6CA84-3355-994A-CA1A-F519EFC57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13</xdr:row>
      <xdr:rowOff>120650</xdr:rowOff>
    </xdr:from>
    <xdr:to>
      <xdr:col>9</xdr:col>
      <xdr:colOff>609600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114101-751C-5BB2-4BEF-59D225572D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na Elizabeth Collawn" refreshedDate="45092.02882349537" createdVersion="8" refreshedVersion="8" minRefreshableVersion="3" recordCount="1000" xr:uid="{F95871CA-E89F-7848-ADB3-2425BD63ED54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"/>
    <x v="1"/>
    <n v="1425"/>
    <n v="100.01614035087719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59"/>
    <x v="0"/>
    <n v="24"/>
    <n v="103.20833333333333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69"/>
    <x v="0"/>
    <n v="53"/>
    <n v="99.339622641509436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74"/>
    <x v="1"/>
    <n v="174"/>
    <n v="75.833333333333329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1"/>
    <x v="0"/>
    <n v="18"/>
    <n v="60.555555555555557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8"/>
    <x v="1"/>
    <n v="227"/>
    <n v="64.93832599118943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20"/>
    <x v="2"/>
    <n v="708"/>
    <n v="30.99717514124293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2"/>
    <x v="0"/>
    <n v="44"/>
    <n v="72.909090909090907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"/>
    <x v="0"/>
    <n v="27"/>
    <n v="112.22222222222223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89"/>
    <x v="0"/>
    <n v="55"/>
    <n v="102.34545454545454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"/>
    <x v="1"/>
    <n v="98"/>
    <n v="105.05102040816327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7"/>
    <x v="0"/>
    <n v="200"/>
    <n v="94.144999999999996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"/>
    <x v="0"/>
    <n v="452"/>
    <n v="84.986725663716811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"/>
    <x v="1"/>
    <n v="1249"/>
    <n v="107.96236989591674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7"/>
    <x v="3"/>
    <n v="135"/>
    <n v="45.103703703703701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49"/>
    <x v="0"/>
    <n v="674"/>
    <n v="45.001483679525222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"/>
    <x v="1"/>
    <n v="1396"/>
    <n v="105.97134670487107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1"/>
    <x v="0"/>
    <n v="558"/>
    <n v="69.055555555555557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28"/>
    <x v="1"/>
    <n v="890"/>
    <n v="85.044943820224717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32"/>
    <x v="1"/>
    <n v="142"/>
    <n v="105.22535211267606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3"/>
    <x v="1"/>
    <n v="2673"/>
    <n v="39.003741114852225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"/>
    <x v="1"/>
    <n v="163"/>
    <n v="73.030674846625772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"/>
    <x v="3"/>
    <n v="1480"/>
    <n v="35.009459459459457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"/>
    <x v="1"/>
    <n v="2220"/>
    <n v="61.997747747747745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9"/>
    <x v="1"/>
    <n v="1606"/>
    <n v="94.000622665006233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1"/>
    <x v="1"/>
    <n v="129"/>
    <n v="112.05426356589147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87"/>
    <x v="0"/>
    <n v="2307"/>
    <n v="38.004334633723452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8"/>
    <x v="1"/>
    <n v="5419"/>
    <n v="35.000184535892231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"/>
    <x v="1"/>
    <n v="1965"/>
    <n v="95.993893129770996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"/>
    <x v="1"/>
    <n v="16"/>
    <n v="68.8125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40"/>
    <x v="1"/>
    <n v="107"/>
    <n v="105.97196261682242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"/>
    <x v="1"/>
    <n v="134"/>
    <n v="75.261194029850742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1"/>
    <x v="0"/>
    <n v="88"/>
    <n v="57.125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"/>
    <x v="1"/>
    <n v="198"/>
    <n v="75.141414141414145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3"/>
    <x v="1"/>
    <n v="111"/>
    <n v="107.42342342342343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44"/>
    <x v="1"/>
    <n v="222"/>
    <n v="35.995495495495497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86"/>
    <x v="1"/>
    <n v="6212"/>
    <n v="26.998873148744366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9"/>
    <x v="1"/>
    <n v="98"/>
    <n v="107.56122448979592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8"/>
    <x v="0"/>
    <n v="48"/>
    <n v="94.375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5"/>
    <x v="1"/>
    <n v="92"/>
    <n v="46.163043478260867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75"/>
    <x v="1"/>
    <n v="149"/>
    <n v="47.845637583892618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87"/>
    <x v="1"/>
    <n v="2431"/>
    <n v="53.007815713698065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90"/>
    <x v="1"/>
    <n v="303"/>
    <n v="45.059405940594061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2"/>
    <x v="0"/>
    <n v="1467"/>
    <n v="99.006816632583508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"/>
    <x v="0"/>
    <n v="75"/>
    <n v="32.786666666666669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40"/>
    <x v="1"/>
    <n v="209"/>
    <n v="59.119617224880386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90"/>
    <x v="0"/>
    <n v="120"/>
    <n v="44.93333333333333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8"/>
    <x v="1"/>
    <n v="131"/>
    <n v="89.664122137404576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4"/>
    <x v="1"/>
    <n v="164"/>
    <n v="70.079268292682926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"/>
    <x v="1"/>
    <n v="201"/>
    <n v="31.059701492537314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"/>
    <x v="1"/>
    <n v="211"/>
    <n v="29.061611374407583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"/>
    <x v="1"/>
    <n v="128"/>
    <n v="30.0859375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44"/>
    <x v="1"/>
    <n v="1600"/>
    <n v="84.998125000000002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3"/>
    <x v="0"/>
    <n v="2253"/>
    <n v="82.001775410563695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23"/>
    <x v="1"/>
    <n v="249"/>
    <n v="58.040160642570278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98"/>
    <x v="0"/>
    <n v="38"/>
    <n v="71.94736842105263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36"/>
    <x v="1"/>
    <n v="236"/>
    <n v="61.038135593220339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45"/>
    <x v="0"/>
    <n v="12"/>
    <n v="108.91666666666667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"/>
    <x v="1"/>
    <n v="4065"/>
    <n v="29.001722017220171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5"/>
    <x v="1"/>
    <n v="246"/>
    <n v="58.975609756097562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24"/>
    <x v="3"/>
    <n v="17"/>
    <n v="111.82352941176471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24"/>
    <x v="1"/>
    <n v="2475"/>
    <n v="63.99555555555555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"/>
    <x v="1"/>
    <n v="76"/>
    <n v="85.315789473684205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"/>
    <x v="1"/>
    <n v="54"/>
    <n v="74.481481481481481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1"/>
    <x v="1"/>
    <n v="88"/>
    <n v="105.14772727272727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22"/>
    <x v="1"/>
    <n v="85"/>
    <n v="56.188235294117646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1"/>
    <x v="1"/>
    <n v="170"/>
    <n v="85.917647058823533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"/>
    <x v="0"/>
    <n v="1684"/>
    <n v="57.0029691211401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47"/>
    <x v="0"/>
    <n v="56"/>
    <n v="79.642857142857139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1"/>
    <x v="1"/>
    <n v="330"/>
    <n v="41.018181818181816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70"/>
    <x v="0"/>
    <n v="838"/>
    <n v="48.004773269689736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"/>
    <x v="1"/>
    <n v="127"/>
    <n v="55.212598425196852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"/>
    <x v="1"/>
    <n v="411"/>
    <n v="92.109489051094897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97"/>
    <x v="1"/>
    <n v="180"/>
    <n v="83.183333333333337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38"/>
    <x v="0"/>
    <n v="1000"/>
    <n v="39.996000000000002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"/>
    <x v="1"/>
    <n v="374"/>
    <n v="111.1336898395722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"/>
    <x v="1"/>
    <n v="71"/>
    <n v="90.563380281690144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68"/>
    <x v="1"/>
    <n v="203"/>
    <n v="61.108374384236456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2"/>
    <x v="0"/>
    <n v="1482"/>
    <n v="83.022941970310384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61"/>
    <x v="1"/>
    <n v="113"/>
    <n v="110.76106194690266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3"/>
    <x v="1"/>
    <n v="96"/>
    <n v="89.458333333333329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79"/>
    <x v="0"/>
    <n v="106"/>
    <n v="57.849056603773583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"/>
    <x v="0"/>
    <n v="679"/>
    <n v="109.99705449189985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9"/>
    <x v="1"/>
    <n v="498"/>
    <n v="103.96586345381526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1"/>
    <x v="3"/>
    <n v="610"/>
    <n v="107.99508196721311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04"/>
    <x v="1"/>
    <n v="180"/>
    <n v="48.927777777777777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3"/>
    <x v="1"/>
    <n v="27"/>
    <n v="37.666666666666664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"/>
    <x v="1"/>
    <n v="2331"/>
    <n v="64.999141999141997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27"/>
    <x v="1"/>
    <n v="113"/>
    <n v="106.61061946902655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4"/>
    <x v="0"/>
    <n v="1220"/>
    <n v="27.009016393442622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7"/>
    <x v="1"/>
    <n v="164"/>
    <n v="91.16463414634147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21"/>
    <x v="1"/>
    <n v="164"/>
    <n v="56.054878048780488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82"/>
    <x v="1"/>
    <n v="336"/>
    <n v="31.017857142857142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5"/>
    <x v="0"/>
    <n v="37"/>
    <n v="66.513513513513516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"/>
    <x v="1"/>
    <n v="1917"/>
    <n v="89.005216484089729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5"/>
    <x v="1"/>
    <n v="95"/>
    <n v="103.46315789473684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"/>
    <x v="1"/>
    <n v="147"/>
    <n v="95.278911564625844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"/>
    <x v="1"/>
    <n v="86"/>
    <n v="75.895348837209298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95"/>
    <x v="1"/>
    <n v="83"/>
    <n v="107.57831325301204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"/>
    <x v="0"/>
    <n v="60"/>
    <n v="51.31666666666667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5"/>
    <x v="0"/>
    <n v="296"/>
    <n v="71.983108108108112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20"/>
    <x v="1"/>
    <n v="676"/>
    <n v="108.95414201183432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7"/>
    <x v="1"/>
    <n v="131"/>
    <n v="94.938931297709928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27"/>
    <x v="1"/>
    <n v="126"/>
    <n v="109.65079365079364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"/>
    <x v="0"/>
    <n v="3304"/>
    <n v="44.001815980629537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74"/>
    <x v="1"/>
    <n v="275"/>
    <n v="30.992727272727272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8"/>
    <x v="1"/>
    <n v="67"/>
    <n v="94.791044776119406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5"/>
    <x v="1"/>
    <n v="154"/>
    <n v="69.79220779220779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"/>
    <x v="1"/>
    <n v="1782"/>
    <n v="63.003367003367003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"/>
    <x v="1"/>
    <n v="903"/>
    <n v="110.0343300110742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64"/>
    <x v="0"/>
    <n v="3387"/>
    <n v="25.997933274284026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19"/>
    <x v="0"/>
    <n v="662"/>
    <n v="49.987915407854985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8"/>
    <x v="1"/>
    <n v="94"/>
    <n v="101.72340425531915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60"/>
    <x v="1"/>
    <n v="180"/>
    <n v="47.083333333333336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39"/>
    <x v="0"/>
    <n v="774"/>
    <n v="89.944444444444443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"/>
    <x v="0"/>
    <n v="672"/>
    <n v="78.96875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60"/>
    <x v="3"/>
    <n v="532"/>
    <n v="80.067669172932327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"/>
    <x v="3"/>
    <n v="55"/>
    <n v="86.472727272727269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"/>
    <x v="1"/>
    <n v="533"/>
    <n v="28.001876172607879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1"/>
    <x v="1"/>
    <n v="2443"/>
    <n v="67.996725337699544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16"/>
    <x v="1"/>
    <n v="89"/>
    <n v="43.078651685393261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11"/>
    <x v="1"/>
    <n v="159"/>
    <n v="87.9559748427672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90"/>
    <x v="0"/>
    <n v="940"/>
    <n v="94.987234042553197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"/>
    <x v="0"/>
    <n v="117"/>
    <n v="46.905982905982903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"/>
    <x v="3"/>
    <n v="58"/>
    <n v="46.91379310344827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1"/>
    <x v="0"/>
    <n v="326"/>
    <n v="59.036809815950917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"/>
    <x v="1"/>
    <n v="186"/>
    <n v="65.989247311827953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2"/>
    <x v="1"/>
    <n v="1071"/>
    <n v="60.992530345471522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"/>
    <x v="1"/>
    <n v="117"/>
    <n v="98.30769230769230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"/>
    <x v="1"/>
    <n v="135"/>
    <n v="86.066666666666663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37"/>
    <x v="1"/>
    <n v="768"/>
    <n v="76.989583333333329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"/>
    <x v="3"/>
    <n v="51"/>
    <n v="29.764705882352942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"/>
    <x v="1"/>
    <n v="199"/>
    <n v="46.91959798994975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"/>
    <x v="1"/>
    <n v="107"/>
    <n v="105.18691588785046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20"/>
    <x v="1"/>
    <n v="195"/>
    <n v="69.907692307692301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64"/>
    <x v="0"/>
    <n v="1467"/>
    <n v="60.011588275391958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"/>
    <x v="1"/>
    <n v="3376"/>
    <n v="52.006220379146917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3"/>
    <x v="0"/>
    <n v="5681"/>
    <n v="31.000176025347649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59"/>
    <x v="0"/>
    <n v="1059"/>
    <n v="95.042492917847028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"/>
    <x v="0"/>
    <n v="1194"/>
    <n v="75.968174204355108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74"/>
    <x v="3"/>
    <n v="379"/>
    <n v="71.013192612137203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53"/>
    <x v="0"/>
    <n v="30"/>
    <n v="73.733333333333334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1"/>
    <x v="1"/>
    <n v="41"/>
    <n v="113.17073170731707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"/>
    <x v="1"/>
    <n v="1821"/>
    <n v="105.0093355299286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62"/>
    <x v="1"/>
    <n v="164"/>
    <n v="79.176829268292678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"/>
    <x v="0"/>
    <n v="75"/>
    <n v="57.333333333333336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50"/>
    <x v="1"/>
    <n v="157"/>
    <n v="58.178343949044589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53"/>
    <x v="1"/>
    <n v="246"/>
    <n v="36.032520325203251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"/>
    <x v="1"/>
    <n v="1396"/>
    <n v="107.99068767908309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22"/>
    <x v="1"/>
    <n v="2506"/>
    <n v="44.00598563447725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"/>
    <x v="1"/>
    <n v="244"/>
    <n v="55.077868852459019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31"/>
    <x v="0"/>
    <n v="955"/>
    <n v="41.996858638743454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"/>
    <x v="1"/>
    <n v="1267"/>
    <n v="77.988161010260455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3"/>
    <x v="0"/>
    <n v="67"/>
    <n v="82.507462686567166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"/>
    <x v="1"/>
    <n v="1561"/>
    <n v="100.98334401024984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5"/>
    <x v="1"/>
    <n v="48"/>
    <n v="111.83333333333333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"/>
    <x v="0"/>
    <n v="1130"/>
    <n v="41.999115044247787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5"/>
    <x v="0"/>
    <n v="782"/>
    <n v="110.05115089514067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"/>
    <x v="1"/>
    <n v="2739"/>
    <n v="58.997079225994888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"/>
    <x v="0"/>
    <n v="210"/>
    <n v="32.985714285714288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8"/>
    <x v="1"/>
    <n v="3537"/>
    <n v="45.005654509471306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"/>
    <x v="1"/>
    <n v="2107"/>
    <n v="81.98196487897485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2"/>
    <x v="0"/>
    <n v="136"/>
    <n v="39.080882352941174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"/>
    <x v="1"/>
    <n v="3318"/>
    <n v="58.996383363471971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"/>
    <x v="0"/>
    <n v="86"/>
    <n v="40.988372093023258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"/>
    <x v="1"/>
    <n v="340"/>
    <n v="31.029411764705884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72"/>
    <x v="0"/>
    <n v="19"/>
    <n v="37.789473684210527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2"/>
    <x v="0"/>
    <n v="886"/>
    <n v="32.006772009029348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30"/>
    <x v="1"/>
    <n v="1442"/>
    <n v="95.966712898751737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4"/>
    <x v="3"/>
    <n v="441"/>
    <n v="102.0498866213152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38"/>
    <x v="0"/>
    <n v="86"/>
    <n v="37.069767441860463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20"/>
    <x v="0"/>
    <n v="243"/>
    <n v="35.049382716049379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46"/>
    <x v="0"/>
    <n v="65"/>
    <n v="46.338461538461537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3"/>
    <x v="1"/>
    <n v="126"/>
    <n v="69.174603174603178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62"/>
    <x v="1"/>
    <n v="524"/>
    <n v="109.07824427480917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"/>
    <x v="1"/>
    <n v="1989"/>
    <n v="82.010055304172951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10"/>
    <x v="0"/>
    <n v="168"/>
    <n v="35.958333333333336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4"/>
    <x v="0"/>
    <n v="13"/>
    <n v="74.461538461538467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"/>
    <x v="1"/>
    <n v="157"/>
    <n v="91.114649681528661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79"/>
    <x v="3"/>
    <n v="82"/>
    <n v="79.79268292682927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"/>
    <x v="1"/>
    <n v="4498"/>
    <n v="42.99977767896842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"/>
    <x v="0"/>
    <n v="40"/>
    <n v="63.225000000000001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32"/>
    <x v="1"/>
    <n v="80"/>
    <n v="70.174999999999997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9"/>
    <x v="3"/>
    <n v="57"/>
    <n v="61.333333333333336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01"/>
    <x v="1"/>
    <n v="2053"/>
    <n v="96.984900146127615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"/>
    <x v="2"/>
    <n v="808"/>
    <n v="51.004950495049506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"/>
    <x v="0"/>
    <n v="226"/>
    <n v="28.044247787610619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5"/>
    <x v="0"/>
    <n v="1625"/>
    <n v="60.984615384615381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2"/>
    <x v="1"/>
    <n v="168"/>
    <n v="73.21428571428570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"/>
    <x v="1"/>
    <n v="4289"/>
    <n v="39.997435299603637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"/>
    <x v="1"/>
    <n v="165"/>
    <n v="86.812121212121212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4"/>
    <x v="0"/>
    <n v="143"/>
    <n v="42.125874125874127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"/>
    <x v="1"/>
    <n v="1815"/>
    <n v="103.97851239669421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5"/>
    <x v="0"/>
    <n v="934"/>
    <n v="62.003211991434689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6"/>
    <x v="1"/>
    <n v="397"/>
    <n v="31.005037783375315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"/>
    <x v="1"/>
    <n v="1539"/>
    <n v="89.991552956465242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"/>
    <x v="0"/>
    <n v="17"/>
    <n v="39.235294117647058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9"/>
    <x v="0"/>
    <n v="2179"/>
    <n v="54.993116108306566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38"/>
    <x v="1"/>
    <n v="138"/>
    <n v="47.992753623188406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4"/>
    <x v="0"/>
    <n v="931"/>
    <n v="87.966702470461868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04"/>
    <x v="1"/>
    <n v="3594"/>
    <n v="51.999165275459099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"/>
    <x v="1"/>
    <n v="5880"/>
    <n v="29.999659863945578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67"/>
    <x v="1"/>
    <n v="112"/>
    <n v="98.205357142857139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9"/>
    <x v="1"/>
    <n v="943"/>
    <n v="108.96182396606575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20"/>
    <x v="1"/>
    <n v="2468"/>
    <n v="66.998379254457049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4"/>
    <x v="1"/>
    <n v="2551"/>
    <n v="64.99333594668758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"/>
    <x v="1"/>
    <n v="101"/>
    <n v="99.84158415841584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7"/>
    <x v="3"/>
    <n v="67"/>
    <n v="82.432835820895519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71"/>
    <x v="1"/>
    <n v="92"/>
    <n v="63.293478260869563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8"/>
    <x v="1"/>
    <n v="62"/>
    <n v="96.774193548387103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"/>
    <x v="1"/>
    <n v="149"/>
    <n v="54.906040268456373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2"/>
    <x v="0"/>
    <n v="92"/>
    <n v="39.010869565217391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1"/>
    <x v="0"/>
    <n v="57"/>
    <n v="75.84210526315789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"/>
    <x v="1"/>
    <n v="329"/>
    <n v="45.05167173252279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"/>
    <x v="1"/>
    <n v="97"/>
    <n v="104.51546391752578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98"/>
    <x v="0"/>
    <n v="41"/>
    <n v="76.268292682926827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9"/>
    <x v="1"/>
    <n v="1784"/>
    <n v="69.015695067264573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2"/>
    <x v="1"/>
    <n v="1684"/>
    <n v="101.97684085510689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8"/>
    <x v="1"/>
    <n v="250"/>
    <n v="42.915999999999997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"/>
    <x v="1"/>
    <n v="238"/>
    <n v="43.025210084033617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70"/>
    <x v="1"/>
    <n v="53"/>
    <n v="75.24528301886792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"/>
    <x v="1"/>
    <n v="214"/>
    <n v="69.02336448598130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6"/>
    <x v="1"/>
    <n v="222"/>
    <n v="65.986486486486484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3"/>
    <x v="1"/>
    <n v="1884"/>
    <n v="98.013800424628457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"/>
    <x v="1"/>
    <n v="218"/>
    <n v="60.105504587155963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"/>
    <x v="1"/>
    <n v="6465"/>
    <n v="26.000773395204948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54"/>
    <x v="0"/>
    <n v="101"/>
    <n v="38.019801980198018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26"/>
    <x v="1"/>
    <n v="59"/>
    <n v="106.15254237288136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"/>
    <x v="0"/>
    <n v="1335"/>
    <n v="81.019475655430711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5"/>
    <x v="1"/>
    <n v="88"/>
    <n v="96.647727272727266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"/>
    <x v="1"/>
    <n v="1697"/>
    <n v="57.003535651149086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23"/>
    <x v="0"/>
    <n v="15"/>
    <n v="63.93333333333333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"/>
    <x v="1"/>
    <n v="186"/>
    <n v="72.172043010752688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8"/>
    <x v="1"/>
    <n v="138"/>
    <n v="77.934782608695656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8"/>
    <x v="1"/>
    <n v="261"/>
    <n v="38.065134099616856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31"/>
    <x v="0"/>
    <n v="454"/>
    <n v="57.93612334801762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13"/>
    <x v="1"/>
    <n v="107"/>
    <n v="49.794392523364486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71"/>
    <x v="1"/>
    <n v="199"/>
    <n v="54.050251256281406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3"/>
    <x v="1"/>
    <n v="5512"/>
    <n v="30.002721335268504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23"/>
    <x v="1"/>
    <n v="86"/>
    <n v="70.127906976744185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77"/>
    <x v="0"/>
    <n v="3182"/>
    <n v="26.99622878692646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34"/>
    <x v="1"/>
    <n v="2768"/>
    <n v="51.990606936416185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81"/>
    <x v="1"/>
    <n v="48"/>
    <n v="56.416666666666664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3"/>
    <x v="1"/>
    <n v="87"/>
    <n v="101.6321839080459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"/>
    <x v="3"/>
    <n v="1890"/>
    <n v="25.005291005291006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"/>
    <x v="2"/>
    <n v="61"/>
    <n v="32.016393442622949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"/>
    <x v="1"/>
    <n v="1894"/>
    <n v="82.021647307286173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37"/>
    <x v="1"/>
    <n v="282"/>
    <n v="37.957446808510639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"/>
    <x v="0"/>
    <n v="15"/>
    <n v="51.533333333333331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2"/>
    <x v="1"/>
    <n v="116"/>
    <n v="81.198275862068968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97"/>
    <x v="0"/>
    <n v="133"/>
    <n v="40.030075187969928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"/>
    <x v="1"/>
    <n v="83"/>
    <n v="89.939759036144579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6"/>
    <x v="1"/>
    <n v="91"/>
    <n v="96.692307692307693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1"/>
    <x v="1"/>
    <n v="546"/>
    <n v="25.010989010989011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"/>
    <x v="1"/>
    <n v="393"/>
    <n v="36.987277353689571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2"/>
    <x v="0"/>
    <n v="2062"/>
    <n v="73.012609117361791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"/>
    <x v="1"/>
    <n v="133"/>
    <n v="68.24060150375939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9"/>
    <x v="0"/>
    <n v="29"/>
    <n v="52.310344827586206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83"/>
    <x v="0"/>
    <n v="132"/>
    <n v="61.765151515151516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"/>
    <x v="1"/>
    <n v="254"/>
    <n v="25.027559055118111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17"/>
    <x v="3"/>
    <n v="184"/>
    <n v="106.28804347826087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10"/>
    <x v="1"/>
    <n v="176"/>
    <n v="75.07386363636364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98"/>
    <x v="0"/>
    <n v="137"/>
    <n v="39.970802919708028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"/>
    <x v="1"/>
    <n v="337"/>
    <n v="39.982195845697326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"/>
    <x v="0"/>
    <n v="908"/>
    <n v="101.01541850220265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7"/>
    <x v="1"/>
    <n v="107"/>
    <n v="76.813084112149539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16"/>
    <x v="3"/>
    <n v="32"/>
    <n v="33.28125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40"/>
    <x v="1"/>
    <n v="183"/>
    <n v="43.923497267759565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6"/>
    <x v="0"/>
    <n v="1910"/>
    <n v="36.004712041884815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55"/>
    <x v="0"/>
    <n v="38"/>
    <n v="88.2105263157894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"/>
    <x v="0"/>
    <n v="104"/>
    <n v="65.240384615384613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4"/>
    <x v="1"/>
    <n v="72"/>
    <n v="69.958333333333329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"/>
    <x v="0"/>
    <n v="49"/>
    <n v="39.877551020408163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5"/>
    <x v="1"/>
    <n v="295"/>
    <n v="41.023728813559323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2"/>
    <x v="0"/>
    <n v="245"/>
    <n v="98.914285714285711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3"/>
    <x v="0"/>
    <n v="32"/>
    <n v="87.78125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46"/>
    <x v="1"/>
    <n v="142"/>
    <n v="80.767605633802816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"/>
    <x v="1"/>
    <n v="85"/>
    <n v="94.28235294117647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8"/>
    <x v="0"/>
    <n v="7"/>
    <n v="73.428571428571431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"/>
    <x v="1"/>
    <n v="659"/>
    <n v="65.968133535660087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"/>
    <x v="0"/>
    <n v="803"/>
    <n v="109.04109589041096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"/>
    <x v="0"/>
    <n v="16"/>
    <n v="99.125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03"/>
    <x v="1"/>
    <n v="121"/>
    <n v="105.88429752066116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10"/>
    <x v="1"/>
    <n v="3742"/>
    <n v="48.996525921966864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95"/>
    <x v="1"/>
    <n v="133"/>
    <n v="31.022556390977442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4"/>
    <x v="0"/>
    <n v="31"/>
    <n v="103.87096774193549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67"/>
    <x v="0"/>
    <n v="108"/>
    <n v="59.268518518518519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6"/>
    <x v="0"/>
    <n v="17"/>
    <n v="53.117647058823529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39"/>
    <x v="3"/>
    <n v="64"/>
    <n v="50.796875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"/>
    <x v="0"/>
    <n v="2468"/>
    <n v="65.000810372771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7"/>
    <x v="1"/>
    <n v="5168"/>
    <n v="37.998645510835914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"/>
    <x v="0"/>
    <n v="26"/>
    <n v="82.615384615384613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"/>
    <x v="1"/>
    <n v="307"/>
    <n v="37.941368078175898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91"/>
    <x v="0"/>
    <n v="73"/>
    <n v="80.780821917808225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"/>
    <x v="0"/>
    <n v="128"/>
    <n v="25.984375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9"/>
    <x v="0"/>
    <n v="33"/>
    <n v="30.36363636363636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4"/>
    <x v="1"/>
    <n v="2441"/>
    <n v="54.004916018025398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23"/>
    <x v="2"/>
    <n v="211"/>
    <n v="101.7867298578199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5"/>
    <x v="1"/>
    <n v="1385"/>
    <n v="45.003610108303249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44"/>
    <x v="1"/>
    <n v="190"/>
    <n v="77.068421052631578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200"/>
    <x v="1"/>
    <n v="470"/>
    <n v="88.076595744680844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4"/>
    <x v="1"/>
    <n v="253"/>
    <n v="47.035573122529641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87"/>
    <x v="1"/>
    <n v="1113"/>
    <n v="110.99550763701707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14"/>
    <x v="1"/>
    <n v="2283"/>
    <n v="87.003066141042481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97"/>
    <x v="0"/>
    <n v="1072"/>
    <n v="63.994402985074629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23"/>
    <x v="1"/>
    <n v="1095"/>
    <n v="105.9945205479452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"/>
    <x v="1"/>
    <n v="1690"/>
    <n v="73.989349112426041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80"/>
    <x v="3"/>
    <n v="1297"/>
    <n v="84.02004626060139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"/>
    <x v="0"/>
    <n v="393"/>
    <n v="88.966921119592882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5"/>
    <x v="0"/>
    <n v="1257"/>
    <n v="76.990453460620529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7"/>
    <x v="0"/>
    <n v="328"/>
    <n v="97.146341463414629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54"/>
    <x v="0"/>
    <n v="147"/>
    <n v="33.013605442176868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2"/>
    <x v="0"/>
    <n v="830"/>
    <n v="99.950602409638549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5"/>
    <x v="0"/>
    <n v="331"/>
    <n v="69.966767371601208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1"/>
    <x v="1"/>
    <n v="191"/>
    <n v="66.005235602094245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72"/>
    <x v="0"/>
    <n v="3483"/>
    <n v="41.005742176284812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"/>
    <x v="0"/>
    <n v="923"/>
    <n v="103.96316359696641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28"/>
    <x v="1"/>
    <n v="2013"/>
    <n v="47.009935419771487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35"/>
    <x v="0"/>
    <n v="33"/>
    <n v="29.606060606060606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11"/>
    <x v="1"/>
    <n v="1703"/>
    <n v="81.010569583088667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9"/>
    <x v="2"/>
    <n v="86"/>
    <n v="26.058139534883722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7"/>
    <x v="0"/>
    <n v="40"/>
    <n v="85.775000000000006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5"/>
    <x v="1"/>
    <n v="41"/>
    <n v="103.73170731707317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2"/>
    <x v="0"/>
    <n v="23"/>
    <n v="49.826086956521742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9"/>
    <x v="1"/>
    <n v="187"/>
    <n v="63.893048128342244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"/>
    <x v="1"/>
    <n v="2875"/>
    <n v="47.00243478260869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4"/>
    <x v="1"/>
    <n v="88"/>
    <n v="108.47727272727273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72"/>
    <x v="1"/>
    <n v="191"/>
    <n v="72.015706806282722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60"/>
    <x v="1"/>
    <n v="139"/>
    <n v="59.928057553956833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16"/>
    <x v="1"/>
    <n v="186"/>
    <n v="78.209677419354833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"/>
    <x v="1"/>
    <n v="112"/>
    <n v="104.77678571428571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"/>
    <x v="1"/>
    <n v="101"/>
    <n v="105.52475247524752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9"/>
    <x v="0"/>
    <n v="75"/>
    <n v="24.933333333333334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7"/>
    <x v="1"/>
    <n v="206"/>
    <n v="69.873786407766985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"/>
    <x v="1"/>
    <n v="154"/>
    <n v="95.733766233766232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"/>
    <x v="1"/>
    <n v="5966"/>
    <n v="29.99748575259805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8"/>
    <x v="0"/>
    <n v="2176"/>
    <n v="59.011948529411768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2"/>
    <x v="1"/>
    <n v="169"/>
    <n v="84.757396449704146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"/>
    <x v="1"/>
    <n v="2106"/>
    <n v="78.01092117758784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"/>
    <x v="0"/>
    <n v="441"/>
    <n v="50.05215419501134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61"/>
    <x v="1"/>
    <n v="131"/>
    <n v="93.702290076335885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"/>
    <x v="0"/>
    <n v="127"/>
    <n v="40.1417322834645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14"/>
    <x v="0"/>
    <n v="355"/>
    <n v="70.090140845070422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"/>
    <x v="0"/>
    <n v="44"/>
    <n v="66.181818181818187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"/>
    <x v="1"/>
    <n v="84"/>
    <n v="47.714285714285715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4"/>
    <x v="1"/>
    <n v="155"/>
    <n v="62.896774193548389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64"/>
    <x v="0"/>
    <n v="67"/>
    <n v="86.611940298507463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"/>
    <x v="1"/>
    <n v="189"/>
    <n v="75.126984126984127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"/>
    <x v="1"/>
    <n v="4799"/>
    <n v="41.004167534903104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"/>
    <x v="1"/>
    <n v="1137"/>
    <n v="50.007915567282325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"/>
    <x v="0"/>
    <n v="1068"/>
    <n v="96.960674157303373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39"/>
    <x v="0"/>
    <n v="424"/>
    <n v="100.93160377358491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11"/>
    <x v="3"/>
    <n v="145"/>
    <n v="89.227586206896547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22"/>
    <x v="1"/>
    <n v="1152"/>
    <n v="87.979166666666671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"/>
    <x v="0"/>
    <n v="151"/>
    <n v="29.09271523178808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6"/>
    <x v="0"/>
    <n v="1608"/>
    <n v="42.006218905472636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9"/>
    <x v="1"/>
    <n v="3059"/>
    <n v="47.004903563255965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69"/>
    <x v="1"/>
    <n v="34"/>
    <n v="110.44117647058823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"/>
    <x v="1"/>
    <n v="220"/>
    <n v="41.990909090909092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67"/>
    <x v="1"/>
    <n v="1604"/>
    <n v="48.012468827930178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4"/>
    <x v="1"/>
    <n v="454"/>
    <n v="31.019823788546255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18"/>
    <x v="1"/>
    <n v="123"/>
    <n v="99.203252032520325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4"/>
    <x v="0"/>
    <n v="941"/>
    <n v="66.022316684378325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"/>
    <x v="1"/>
    <n v="299"/>
    <n v="46.060200668896321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"/>
    <x v="0"/>
    <n v="3015"/>
    <n v="55.99336650082919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6"/>
    <x v="1"/>
    <n v="2237"/>
    <n v="68.985695127402778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90"/>
    <x v="0"/>
    <n v="435"/>
    <n v="60.981609195402299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"/>
    <x v="1"/>
    <n v="645"/>
    <n v="110.98139534883721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2"/>
    <x v="1"/>
    <n v="154"/>
    <n v="78.759740259740255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"/>
    <x v="0"/>
    <n v="714"/>
    <n v="87.960784313725483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36"/>
    <x v="2"/>
    <n v="1111"/>
    <n v="49.987398739873989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5"/>
    <x v="1"/>
    <n v="82"/>
    <n v="99.524390243902445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69"/>
    <x v="1"/>
    <n v="134"/>
    <n v="104.82089552238806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"/>
    <x v="2"/>
    <n v="1089"/>
    <n v="108.01469237832875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5"/>
    <x v="0"/>
    <n v="5497"/>
    <n v="28.998544660724033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"/>
    <x v="0"/>
    <n v="418"/>
    <n v="30.028708133971293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4"/>
    <x v="0"/>
    <n v="1439"/>
    <n v="41.005559416261292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"/>
    <x v="0"/>
    <n v="15"/>
    <n v="62.866666666666667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57"/>
    <x v="0"/>
    <n v="1999"/>
    <n v="47.005002501250623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"/>
    <x v="1"/>
    <n v="5203"/>
    <n v="26.997693638285604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"/>
    <x v="1"/>
    <n v="94"/>
    <n v="68.329787234042556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64"/>
    <x v="0"/>
    <n v="118"/>
    <n v="50.974576271186443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"/>
    <x v="1"/>
    <n v="205"/>
    <n v="54.024390243902438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1"/>
    <x v="0"/>
    <n v="162"/>
    <n v="97.055555555555557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40"/>
    <x v="0"/>
    <n v="83"/>
    <n v="24.867469879518072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8"/>
    <x v="1"/>
    <n v="92"/>
    <n v="84.423913043478265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3"/>
    <x v="1"/>
    <n v="219"/>
    <n v="47.091324200913242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3"/>
    <x v="1"/>
    <n v="2526"/>
    <n v="77.996041171813147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"/>
    <x v="0"/>
    <n v="747"/>
    <n v="62.967871485943775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1"/>
    <x v="3"/>
    <n v="2138"/>
    <n v="81.006080449017773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8"/>
    <x v="0"/>
    <n v="84"/>
    <n v="65.321428571428569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92"/>
    <x v="1"/>
    <n v="94"/>
    <n v="104.43617021276596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83"/>
    <x v="0"/>
    <n v="91"/>
    <n v="69.989010989010993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"/>
    <x v="0"/>
    <n v="792"/>
    <n v="83.023989898989896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7"/>
    <x v="1"/>
    <n v="1713"/>
    <n v="103.98131932282546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52"/>
    <x v="1"/>
    <n v="249"/>
    <n v="54.93172690763051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23"/>
    <x v="1"/>
    <n v="192"/>
    <n v="51.921875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9"/>
    <x v="1"/>
    <n v="247"/>
    <n v="60.02834008097166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55"/>
    <x v="1"/>
    <n v="2293"/>
    <n v="44.003488879197555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2"/>
    <x v="1"/>
    <n v="3131"/>
    <n v="53.003513254551258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9"/>
    <x v="1"/>
    <n v="143"/>
    <n v="75.04195804195804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35"/>
    <x v="3"/>
    <n v="90"/>
    <n v="35.911111111111111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76"/>
    <x v="1"/>
    <n v="296"/>
    <n v="36.952702702702702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"/>
    <x v="1"/>
    <n v="170"/>
    <n v="63.170588235294119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"/>
    <x v="0"/>
    <n v="186"/>
    <n v="29.99462365591398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"/>
    <x v="0"/>
    <n v="605"/>
    <n v="75.01487603305784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3"/>
    <x v="1"/>
    <n v="6286"/>
    <n v="29.001272669424118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"/>
    <x v="0"/>
    <n v="31"/>
    <n v="98.225806451612897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"/>
    <x v="0"/>
    <n v="1181"/>
    <n v="87.001693480101608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"/>
    <x v="0"/>
    <n v="39"/>
    <n v="45.205128205128204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"/>
    <x v="1"/>
    <n v="3727"/>
    <n v="37.001341561577675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"/>
    <x v="1"/>
    <n v="1605"/>
    <n v="94.97694704049844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7"/>
    <x v="0"/>
    <n v="46"/>
    <n v="28.956521739130434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"/>
    <x v="1"/>
    <n v="2120"/>
    <n v="55.993396226415094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"/>
    <x v="0"/>
    <n v="105"/>
    <n v="54.038095238095238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41"/>
    <x v="1"/>
    <n v="2080"/>
    <n v="66.997115384615384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31"/>
    <x v="0"/>
    <n v="535"/>
    <n v="107.91401869158878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"/>
    <x v="1"/>
    <n v="2105"/>
    <n v="69.009501187648453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"/>
    <x v="1"/>
    <n v="2436"/>
    <n v="39.006568144499177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88"/>
    <x v="1"/>
    <n v="80"/>
    <n v="110.3625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"/>
    <x v="1"/>
    <n v="139"/>
    <n v="57.935251798561154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84"/>
    <x v="1"/>
    <n v="159"/>
    <n v="64.9559748427672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6"/>
    <x v="1"/>
    <n v="381"/>
    <n v="27.00524934383202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"/>
    <x v="0"/>
    <n v="575"/>
    <n v="104.94260869565217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78"/>
    <x v="1"/>
    <n v="106"/>
    <n v="84.028301886792448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65"/>
    <x v="1"/>
    <n v="142"/>
    <n v="102.85915492957747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4"/>
    <x v="1"/>
    <n v="211"/>
    <n v="39.96208530805687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30"/>
    <x v="0"/>
    <n v="1120"/>
    <n v="51.001785714285717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"/>
    <x v="0"/>
    <n v="113"/>
    <n v="40.823008849557525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"/>
    <x v="1"/>
    <n v="2756"/>
    <n v="58.999637155297535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3"/>
    <x v="1"/>
    <n v="173"/>
    <n v="71.156069364161851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01"/>
    <x v="1"/>
    <n v="87"/>
    <n v="99.494252873563212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"/>
    <x v="0"/>
    <n v="1538"/>
    <n v="103.98634590377114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"/>
    <x v="0"/>
    <n v="9"/>
    <n v="76.555555555555557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3"/>
    <x v="0"/>
    <n v="554"/>
    <n v="87.06859205776173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60"/>
    <x v="1"/>
    <n v="1572"/>
    <n v="48.99554707379135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1"/>
    <x v="0"/>
    <n v="648"/>
    <n v="42.969135802469133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4"/>
    <x v="0"/>
    <n v="21"/>
    <n v="33.42857142857143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9"/>
    <x v="1"/>
    <n v="2346"/>
    <n v="83.982949701619773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"/>
    <x v="1"/>
    <n v="115"/>
    <n v="101.41739130434783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02"/>
    <x v="1"/>
    <n v="85"/>
    <n v="109.87058823529412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2"/>
    <x v="1"/>
    <n v="144"/>
    <n v="31.916666666666668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"/>
    <x v="1"/>
    <n v="2443"/>
    <n v="70.99345067539910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24"/>
    <x v="3"/>
    <n v="595"/>
    <n v="77.026890756302521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4"/>
    <x v="1"/>
    <n v="64"/>
    <n v="101.78125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"/>
    <x v="1"/>
    <n v="268"/>
    <n v="51.059701492537314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5"/>
    <x v="1"/>
    <n v="195"/>
    <n v="68.02051282051282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1"/>
    <x v="0"/>
    <n v="54"/>
    <n v="30.87037037037037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"/>
    <x v="0"/>
    <n v="120"/>
    <n v="27.908333333333335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4"/>
    <x v="0"/>
    <n v="579"/>
    <n v="79.994818652849744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"/>
    <x v="0"/>
    <n v="2072"/>
    <n v="38.003378378378379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70"/>
    <x v="0"/>
    <n v="1796"/>
    <n v="59.990534521158132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30"/>
    <x v="1"/>
    <n v="186"/>
    <n v="37.037634408602152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"/>
    <x v="1"/>
    <n v="460"/>
    <n v="99.963043478260872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"/>
    <x v="0"/>
    <n v="62"/>
    <n v="111.6774193548387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14"/>
    <x v="0"/>
    <n v="347"/>
    <n v="36.014409221902014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"/>
    <x v="1"/>
    <n v="2528"/>
    <n v="66.01028481012657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40"/>
    <x v="0"/>
    <n v="19"/>
    <n v="44.05263157894737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"/>
    <x v="1"/>
    <n v="3657"/>
    <n v="52.999726551818434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"/>
    <x v="1"/>
    <n v="131"/>
    <n v="70.908396946564892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"/>
    <x v="0"/>
    <n v="362"/>
    <n v="98.060773480662988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39"/>
    <x v="1"/>
    <n v="239"/>
    <n v="53.046025104602514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"/>
    <x v="3"/>
    <n v="35"/>
    <n v="93.142857142857139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"/>
    <x v="3"/>
    <n v="528"/>
    <n v="58.94507575757575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56"/>
    <x v="0"/>
    <n v="133"/>
    <n v="36.067669172932334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3"/>
    <x v="0"/>
    <n v="846"/>
    <n v="63.03073286052009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"/>
    <x v="1"/>
    <n v="78"/>
    <n v="84.717948717948715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2"/>
    <x v="1"/>
    <n v="1773"/>
    <n v="101.97518330513255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6"/>
    <x v="1"/>
    <n v="32"/>
    <n v="106.4375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46"/>
    <x v="1"/>
    <n v="369"/>
    <n v="29.975609756097562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"/>
    <x v="0"/>
    <n v="191"/>
    <n v="85.806282722513089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"/>
    <x v="1"/>
    <n v="89"/>
    <n v="70.82022471910112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4"/>
    <x v="0"/>
    <n v="1979"/>
    <n v="40.998484082870135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"/>
    <x v="0"/>
    <n v="63"/>
    <n v="28.0634920634920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6"/>
    <x v="1"/>
    <n v="147"/>
    <n v="88.054421768707485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"/>
    <x v="0"/>
    <n v="80"/>
    <n v="90.337500000000006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11"/>
    <x v="0"/>
    <n v="9"/>
    <n v="63.77777777777777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2"/>
    <x v="0"/>
    <n v="1784"/>
    <n v="53.995515695067262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6"/>
    <x v="2"/>
    <n v="3640"/>
    <n v="48.993956043956047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3"/>
    <x v="1"/>
    <n v="126"/>
    <n v="63.857142857142854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"/>
    <x v="1"/>
    <n v="2218"/>
    <n v="82.99639314697925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"/>
    <x v="0"/>
    <n v="243"/>
    <n v="55.08230452674897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"/>
    <x v="1"/>
    <n v="202"/>
    <n v="62.04455445544554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50"/>
    <x v="1"/>
    <n v="140"/>
    <n v="104.97857142857143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"/>
    <x v="1"/>
    <n v="1052"/>
    <n v="94.044676806083643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8"/>
    <x v="0"/>
    <n v="1296"/>
    <n v="44.007716049382715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3"/>
    <x v="0"/>
    <n v="77"/>
    <n v="92.467532467532465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6"/>
    <x v="1"/>
    <n v="247"/>
    <n v="57.072874493927124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"/>
    <x v="0"/>
    <n v="395"/>
    <n v="109.07848101265823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3"/>
    <x v="0"/>
    <n v="49"/>
    <n v="39.387755102040813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"/>
    <x v="0"/>
    <n v="180"/>
    <n v="77.022222222222226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7"/>
    <x v="1"/>
    <n v="84"/>
    <n v="92.166666666666671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89"/>
    <x v="0"/>
    <n v="2690"/>
    <n v="61.007063197026021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4"/>
    <x v="1"/>
    <n v="88"/>
    <n v="78.068181818181813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71"/>
    <x v="1"/>
    <n v="2985"/>
    <n v="59.991289782244557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"/>
    <x v="1"/>
    <n v="762"/>
    <n v="110.03018372703411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9"/>
    <x v="0"/>
    <n v="2779"/>
    <n v="37.99856063332134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9"/>
    <x v="0"/>
    <n v="92"/>
    <n v="96.369565217391298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4"/>
    <x v="0"/>
    <n v="1028"/>
    <n v="72.97859922178987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2"/>
    <x v="1"/>
    <n v="554"/>
    <n v="26.007220216606498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24"/>
    <x v="1"/>
    <n v="135"/>
    <n v="104.36296296296297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40"/>
    <x v="1"/>
    <n v="122"/>
    <n v="102.18852459016394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"/>
    <x v="1"/>
    <n v="221"/>
    <n v="54.117647058823529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"/>
    <x v="1"/>
    <n v="126"/>
    <n v="63.222222222222221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1"/>
    <x v="1"/>
    <n v="1022"/>
    <n v="104.03228962818004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94"/>
    <x v="1"/>
    <n v="3177"/>
    <n v="49.994334277620396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70"/>
    <x v="1"/>
    <n v="198"/>
    <n v="56.015151515151516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3"/>
    <x v="0"/>
    <n v="26"/>
    <n v="48.807692307692307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"/>
    <x v="1"/>
    <n v="85"/>
    <n v="60.082352941176474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4"/>
    <x v="0"/>
    <n v="1790"/>
    <n v="78.990502793296088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5"/>
    <x v="1"/>
    <n v="3596"/>
    <n v="53.99499443826474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44"/>
    <x v="0"/>
    <n v="37"/>
    <n v="111.45945945945945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9"/>
    <x v="1"/>
    <n v="244"/>
    <n v="60.922131147540981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86"/>
    <x v="1"/>
    <n v="5180"/>
    <n v="26.0015444015444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"/>
    <x v="1"/>
    <n v="589"/>
    <n v="80.993208828522924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6"/>
    <x v="1"/>
    <n v="2725"/>
    <n v="34.995963302752294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94"/>
    <x v="0"/>
    <n v="35"/>
    <n v="94.142857142857139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"/>
    <x v="3"/>
    <n v="94"/>
    <n v="52.085106382978722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12"/>
    <x v="1"/>
    <n v="300"/>
    <n v="24.986666666666668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"/>
    <x v="1"/>
    <n v="144"/>
    <n v="69.215277777777771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63"/>
    <x v="0"/>
    <n v="558"/>
    <n v="93.944444444444443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5"/>
    <x v="0"/>
    <n v="64"/>
    <n v="98.40625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19"/>
    <x v="3"/>
    <n v="37"/>
    <n v="41.783783783783782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17"/>
    <x v="0"/>
    <n v="245"/>
    <n v="65.991836734693877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"/>
    <x v="1"/>
    <n v="87"/>
    <n v="72.05747126436782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42"/>
    <x v="1"/>
    <n v="3116"/>
    <n v="48.003209242618745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"/>
    <x v="0"/>
    <n v="71"/>
    <n v="54.098591549295776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52"/>
    <x v="0"/>
    <n v="42"/>
    <n v="107.88095238095238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"/>
    <x v="1"/>
    <n v="909"/>
    <n v="67.034103410341032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20"/>
    <x v="1"/>
    <n v="1613"/>
    <n v="64.0142591444513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47"/>
    <x v="1"/>
    <n v="136"/>
    <n v="96.066176470588232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1"/>
    <x v="1"/>
    <n v="130"/>
    <n v="51.184615384615384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73"/>
    <x v="0"/>
    <n v="156"/>
    <n v="43.92307692307692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79"/>
    <x v="0"/>
    <n v="1368"/>
    <n v="91.021198830409361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5"/>
    <x v="0"/>
    <n v="102"/>
    <n v="50.127450980392155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"/>
    <x v="0"/>
    <n v="86"/>
    <n v="67.72093023255814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8"/>
    <x v="1"/>
    <n v="102"/>
    <n v="61.03921568627451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3"/>
    <x v="0"/>
    <n v="253"/>
    <n v="80.011857707509876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5"/>
    <x v="1"/>
    <n v="4006"/>
    <n v="47.001497753369947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"/>
    <x v="0"/>
    <n v="157"/>
    <n v="71.127388535031841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9"/>
    <x v="1"/>
    <n v="1629"/>
    <n v="89.99079189686924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100"/>
    <x v="0"/>
    <n v="183"/>
    <n v="43.032786885245905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2"/>
    <x v="1"/>
    <n v="2188"/>
    <n v="67.997714808043881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"/>
    <x v="1"/>
    <n v="2409"/>
    <n v="73.004566210045667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4"/>
    <x v="0"/>
    <n v="82"/>
    <n v="62.341463414634148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07"/>
    <x v="1"/>
    <n v="194"/>
    <n v="67.103092783505161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"/>
    <x v="1"/>
    <n v="1140"/>
    <n v="79.978947368421046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20"/>
    <x v="1"/>
    <n v="102"/>
    <n v="62.176470588235297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1"/>
    <x v="1"/>
    <n v="2857"/>
    <n v="53.005950297514879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"/>
    <x v="1"/>
    <n v="107"/>
    <n v="57.738317757009348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"/>
    <x v="1"/>
    <n v="160"/>
    <n v="40.03125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"/>
    <x v="1"/>
    <n v="2230"/>
    <n v="81.016591928251117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84"/>
    <x v="1"/>
    <n v="316"/>
    <n v="35.047468354430379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20"/>
    <x v="1"/>
    <n v="117"/>
    <n v="102.92307692307692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"/>
    <x v="1"/>
    <n v="6406"/>
    <n v="27.998126756166094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4"/>
    <x v="3"/>
    <n v="15"/>
    <n v="75.733333333333334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39"/>
    <x v="1"/>
    <n v="192"/>
    <n v="45.026041666666664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"/>
    <x v="1"/>
    <n v="723"/>
    <n v="56.991701244813278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"/>
    <x v="1"/>
    <n v="170"/>
    <n v="85.223529411764702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90"/>
    <x v="1"/>
    <n v="238"/>
    <n v="50.962184873949582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50"/>
    <x v="1"/>
    <n v="55"/>
    <n v="63.563636363636363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49"/>
    <x v="0"/>
    <n v="1198"/>
    <n v="80.999165275459092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"/>
    <x v="0"/>
    <n v="648"/>
    <n v="86.044753086419746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"/>
    <x v="1"/>
    <n v="128"/>
    <n v="90.0390625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20"/>
    <x v="1"/>
    <n v="2144"/>
    <n v="74.006063432835816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"/>
    <x v="0"/>
    <n v="64"/>
    <n v="92.4375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60"/>
    <x v="1"/>
    <n v="2693"/>
    <n v="55.999257333828446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"/>
    <x v="1"/>
    <n v="432"/>
    <n v="32.983796296296298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"/>
    <x v="0"/>
    <n v="62"/>
    <n v="93.596774193548384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"/>
    <x v="1"/>
    <n v="189"/>
    <n v="69.867724867724874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"/>
    <x v="1"/>
    <n v="154"/>
    <n v="72.129870129870127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2"/>
    <x v="1"/>
    <n v="96"/>
    <n v="30.041666666666668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5"/>
    <x v="0"/>
    <n v="750"/>
    <n v="73.968000000000004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63"/>
    <x v="3"/>
    <n v="87"/>
    <n v="68.65517241379311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"/>
    <x v="1"/>
    <n v="3063"/>
    <n v="59.992164544564154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43"/>
    <x v="2"/>
    <n v="278"/>
    <n v="111.15827338129496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"/>
    <x v="0"/>
    <n v="105"/>
    <n v="53.038095238095238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9"/>
    <x v="3"/>
    <n v="1658"/>
    <n v="55.985524728588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"/>
    <x v="1"/>
    <n v="2266"/>
    <n v="69.986760812003524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5"/>
    <x v="0"/>
    <n v="2604"/>
    <n v="48.998079877112133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"/>
    <x v="0"/>
    <n v="65"/>
    <n v="103.84615384615384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11"/>
    <x v="0"/>
    <n v="94"/>
    <n v="99.127659574468083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56"/>
    <x v="2"/>
    <n v="45"/>
    <n v="107.37777777777778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7"/>
    <x v="0"/>
    <n v="257"/>
    <n v="76.922178988326849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20"/>
    <x v="1"/>
    <n v="194"/>
    <n v="58.128865979381445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"/>
    <x v="1"/>
    <n v="129"/>
    <n v="103.73643410852713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"/>
    <x v="1"/>
    <n v="375"/>
    <n v="87.962666666666664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3"/>
    <x v="0"/>
    <n v="4697"/>
    <n v="37.999361294443261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89"/>
    <x v="0"/>
    <n v="2915"/>
    <n v="29.9993138936535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"/>
    <x v="3"/>
    <n v="723"/>
    <n v="85.994467496542185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48"/>
    <x v="0"/>
    <n v="602"/>
    <n v="98.01162790697674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"/>
    <x v="0"/>
    <n v="3868"/>
    <n v="44.994570837642193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7"/>
    <x v="1"/>
    <n v="409"/>
    <n v="31.012224938875306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9"/>
    <x v="1"/>
    <n v="234"/>
    <n v="59.970085470085472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"/>
    <x v="1"/>
    <n v="3016"/>
    <n v="58.9973474801061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"/>
    <x v="1"/>
    <n v="264"/>
    <n v="50.045454545454547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"/>
    <x v="0"/>
    <n v="504"/>
    <n v="98.966269841269835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"/>
    <x v="0"/>
    <n v="14"/>
    <n v="58.85714285714285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"/>
    <x v="3"/>
    <n v="390"/>
    <n v="81.010256410256417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47"/>
    <x v="0"/>
    <n v="750"/>
    <n v="76.013333333333335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2"/>
    <x v="0"/>
    <n v="77"/>
    <n v="96.597402597402592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54"/>
    <x v="0"/>
    <n v="752"/>
    <n v="76.957446808510639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98"/>
    <x v="0"/>
    <n v="131"/>
    <n v="67.984732824427482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77"/>
    <x v="0"/>
    <n v="87"/>
    <n v="88.78160919540229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33"/>
    <x v="0"/>
    <n v="1063"/>
    <n v="24.9962370649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40"/>
    <x v="1"/>
    <n v="272"/>
    <n v="44.922794117647058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"/>
    <x v="1"/>
    <n v="419"/>
    <n v="29.009546539379475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"/>
    <x v="0"/>
    <n v="76"/>
    <n v="73.59210526315789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9"/>
    <x v="1"/>
    <n v="1621"/>
    <n v="107.9703886489821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9"/>
    <x v="1"/>
    <n v="1101"/>
    <n v="68.987284287011803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"/>
    <x v="1"/>
    <n v="1073"/>
    <n v="111.02236719478098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56"/>
    <x v="0"/>
    <n v="4428"/>
    <n v="24.99751580849141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4"/>
    <x v="0"/>
    <n v="58"/>
    <n v="42.155172413793103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34"/>
    <x v="3"/>
    <n v="1218"/>
    <n v="47.003284072249592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3"/>
    <x v="1"/>
    <n v="331"/>
    <n v="36.0392749244713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90"/>
    <x v="1"/>
    <n v="1170"/>
    <n v="101.03760683760684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4"/>
    <x v="0"/>
    <n v="111"/>
    <n v="39.927927927927925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8"/>
    <x v="3"/>
    <n v="215"/>
    <n v="83.158139534883716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7"/>
    <x v="1"/>
    <n v="363"/>
    <n v="39.97520661157025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"/>
    <x v="0"/>
    <n v="2955"/>
    <n v="47.993908629441627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"/>
    <x v="0"/>
    <n v="1657"/>
    <n v="95.978877489438744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50"/>
    <x v="1"/>
    <n v="103"/>
    <n v="78.728155339805824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58"/>
    <x v="1"/>
    <n v="147"/>
    <n v="56.08163265306122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43"/>
    <x v="1"/>
    <n v="110"/>
    <n v="69.090909090909093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8"/>
    <x v="0"/>
    <n v="926"/>
    <n v="102.0529157667386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2"/>
    <x v="1"/>
    <n v="134"/>
    <n v="107.32089552238806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"/>
    <x v="1"/>
    <n v="175"/>
    <n v="71.137142857142862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1"/>
    <x v="1"/>
    <n v="69"/>
    <n v="106.49275362318841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27"/>
    <x v="1"/>
    <n v="190"/>
    <n v="42.93684210526316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"/>
    <x v="1"/>
    <n v="237"/>
    <n v="30.037974683544302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1"/>
    <x v="0"/>
    <n v="77"/>
    <n v="70.623376623376629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4"/>
    <x v="0"/>
    <n v="1748"/>
    <n v="66.016018306636155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84"/>
    <x v="0"/>
    <n v="79"/>
    <n v="96.911392405063296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4"/>
    <x v="1"/>
    <n v="196"/>
    <n v="62.867346938775512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59"/>
    <x v="0"/>
    <n v="889"/>
    <n v="108.98537682789652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3"/>
    <x v="1"/>
    <n v="7295"/>
    <n v="26.999314599040439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7"/>
    <x v="1"/>
    <n v="2893"/>
    <n v="65.004147943311438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84"/>
    <x v="0"/>
    <n v="56"/>
    <n v="111.51785714285714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"/>
    <x v="1"/>
    <n v="820"/>
    <n v="110.99268292682927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54"/>
    <x v="0"/>
    <n v="83"/>
    <n v="56.746987951807228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12"/>
    <x v="1"/>
    <n v="2038"/>
    <n v="97.02060843964670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3"/>
    <x v="1"/>
    <n v="116"/>
    <n v="92.08620689655173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"/>
    <x v="0"/>
    <n v="2025"/>
    <n v="82.98666666666666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8"/>
    <x v="1"/>
    <n v="1345"/>
    <n v="103.03791821561339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9"/>
    <x v="1"/>
    <n v="168"/>
    <n v="68.922619047619051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07"/>
    <x v="1"/>
    <n v="137"/>
    <n v="87.737226277372258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"/>
    <x v="1"/>
    <n v="186"/>
    <n v="75.021505376344081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8"/>
    <x v="1"/>
    <n v="125"/>
    <n v="50.863999999999997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41"/>
    <x v="1"/>
    <n v="202"/>
    <n v="72.896039603960389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62"/>
    <x v="1"/>
    <n v="103"/>
    <n v="108.48543689320388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3"/>
    <x v="1"/>
    <n v="1785"/>
    <n v="101.98095238095237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"/>
    <x v="0"/>
    <n v="656"/>
    <n v="44.009146341463413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8"/>
    <x v="1"/>
    <n v="157"/>
    <n v="65.942675159235662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8"/>
    <x v="1"/>
    <n v="555"/>
    <n v="24.987387387387386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"/>
    <x v="1"/>
    <n v="297"/>
    <n v="28.003367003367003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"/>
    <x v="3"/>
    <n v="38"/>
    <n v="84.921052631578945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"/>
    <x v="3"/>
    <n v="60"/>
    <n v="90.483333333333334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57"/>
    <x v="1"/>
    <n v="3036"/>
    <n v="25.00197628458498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"/>
    <x v="1"/>
    <n v="144"/>
    <n v="92.013888888888886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34"/>
    <x v="1"/>
    <n v="121"/>
    <n v="93.066115702479337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50"/>
    <x v="0"/>
    <n v="1596"/>
    <n v="61.008145363408524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9"/>
    <x v="3"/>
    <n v="524"/>
    <n v="92.03625954198473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6"/>
    <x v="1"/>
    <n v="122"/>
    <n v="85.221311475409834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3"/>
    <x v="1"/>
    <n v="1071"/>
    <n v="110.96825396825396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"/>
    <x v="3"/>
    <n v="219"/>
    <n v="32.96803652968036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2"/>
    <x v="0"/>
    <n v="1121"/>
    <n v="96.005352363960753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27"/>
    <x v="1"/>
    <n v="980"/>
    <n v="84.96632653061225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19"/>
    <x v="1"/>
    <n v="536"/>
    <n v="25.007462686567163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"/>
    <x v="1"/>
    <n v="1991"/>
    <n v="65.99899547965846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3"/>
    <x v="3"/>
    <n v="29"/>
    <n v="87.3448275862068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6"/>
    <x v="1"/>
    <n v="180"/>
    <n v="27.933333333333334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79"/>
    <x v="1"/>
    <n v="130"/>
    <n v="108.84615384615384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"/>
    <x v="1"/>
    <n v="122"/>
    <n v="110.76229508196721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3"/>
    <x v="0"/>
    <n v="17"/>
    <n v="29.647058823529413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35"/>
    <x v="3"/>
    <n v="614"/>
    <n v="110.97231270358306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"/>
    <x v="1"/>
    <n v="366"/>
    <n v="36.959016393442624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"/>
    <x v="1"/>
    <n v="270"/>
    <n v="30.974074074074075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92"/>
    <x v="3"/>
    <n v="114"/>
    <n v="47.035087719298247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57"/>
    <x v="1"/>
    <n v="137"/>
    <n v="88.065693430656935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"/>
    <x v="1"/>
    <n v="3205"/>
    <n v="37.005616224648989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7"/>
    <x v="1"/>
    <n v="288"/>
    <n v="26.027777777777779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"/>
    <x v="1"/>
    <n v="148"/>
    <n v="67.817567567567565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7"/>
    <x v="1"/>
    <n v="114"/>
    <n v="49.964912280701753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"/>
    <x v="1"/>
    <n v="1518"/>
    <n v="110.01646903820817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"/>
    <x v="0"/>
    <n v="1274"/>
    <n v="89.96467817896389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34"/>
    <x v="0"/>
    <n v="210"/>
    <n v="79.009523809523813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"/>
    <x v="1"/>
    <n v="166"/>
    <n v="86.867469879518069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13"/>
    <x v="1"/>
    <n v="235"/>
    <n v="26.97021276595744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"/>
    <x v="1"/>
    <n v="148"/>
    <n v="54.121621621621621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08"/>
    <x v="1"/>
    <n v="198"/>
    <n v="41.035353535353536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"/>
    <x v="0"/>
    <n v="248"/>
    <n v="55.052419354838712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7"/>
    <x v="0"/>
    <n v="513"/>
    <n v="107.93762183235867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87"/>
    <x v="0"/>
    <n v="3410"/>
    <n v="31.995894428152493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1"/>
    <x v="1"/>
    <n v="216"/>
    <n v="53.898148148148145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"/>
    <x v="1"/>
    <n v="5139"/>
    <n v="32.999805409612762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1"/>
    <x v="1"/>
    <n v="2353"/>
    <n v="43.00254993625159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36"/>
    <x v="1"/>
    <n v="78"/>
    <n v="86.858974358974365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66"/>
    <x v="0"/>
    <n v="2201"/>
    <n v="32.995456610631528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49"/>
    <x v="0"/>
    <n v="676"/>
    <n v="68.028106508875737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88"/>
    <x v="1"/>
    <n v="174"/>
    <n v="58.867816091954026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"/>
    <x v="0"/>
    <n v="831"/>
    <n v="105.04572803850782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"/>
    <x v="1"/>
    <n v="164"/>
    <n v="33.054878048780488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1"/>
    <x v="3"/>
    <n v="56"/>
    <n v="78.821428571428569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"/>
    <x v="1"/>
    <n v="161"/>
    <n v="68.204968944099377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"/>
    <x v="1"/>
    <n v="138"/>
    <n v="75.731884057971016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15"/>
    <x v="1"/>
    <n v="3308"/>
    <n v="30.996070133010882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"/>
    <x v="1"/>
    <n v="127"/>
    <n v="101.88188976377953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30"/>
    <x v="1"/>
    <n v="207"/>
    <n v="52.879227053140099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100"/>
    <x v="0"/>
    <n v="859"/>
    <n v="71.005820721769496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88"/>
    <x v="2"/>
    <n v="31"/>
    <n v="102.38709677419355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"/>
    <x v="0"/>
    <n v="45"/>
    <n v="74.466666666666669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31"/>
    <x v="3"/>
    <n v="1113"/>
    <n v="51.009883198562441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6"/>
    <x v="1"/>
    <n v="181"/>
    <n v="72.071823204419886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25"/>
    <x v="1"/>
    <n v="110"/>
    <n v="75.236363636363635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14"/>
    <x v="0"/>
    <n v="31"/>
    <n v="32.967741935483872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5"/>
    <x v="0"/>
    <n v="78"/>
    <n v="54.807692307692307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10"/>
    <x v="1"/>
    <n v="185"/>
    <n v="45.037837837837834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88"/>
    <x v="1"/>
    <n v="121"/>
    <n v="52.958677685950413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87"/>
    <x v="0"/>
    <n v="1225"/>
    <n v="60.017959183673469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03"/>
    <x v="1"/>
    <n v="106"/>
    <n v="44.028301886792455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"/>
    <x v="1"/>
    <n v="142"/>
    <n v="86.028169014084511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9"/>
    <x v="1"/>
    <n v="218"/>
    <n v="32.05045871559632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51"/>
    <x v="0"/>
    <n v="67"/>
    <n v="73.611940298507463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"/>
    <x v="1"/>
    <n v="76"/>
    <n v="108.71052631578948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"/>
    <x v="0"/>
    <n v="19"/>
    <n v="83.315789473684205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"/>
    <x v="1"/>
    <n v="221"/>
    <n v="55.92760180995475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"/>
    <x v="0"/>
    <n v="679"/>
    <n v="105.03681885125184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39"/>
    <x v="1"/>
    <n v="68"/>
    <n v="112.66176470588235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92"/>
    <x v="0"/>
    <n v="36"/>
    <n v="81.944444444444443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"/>
    <x v="1"/>
    <n v="183"/>
    <n v="64.049180327868854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"/>
    <x v="1"/>
    <n v="133"/>
    <n v="106.39097744360902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69"/>
    <x v="1"/>
    <n v="2489"/>
    <n v="76.011249497790274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95"/>
    <x v="1"/>
    <n v="69"/>
    <n v="111.07246376811594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51"/>
    <x v="0"/>
    <n v="47"/>
    <n v="95.936170212765958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1"/>
    <x v="1"/>
    <n v="279"/>
    <n v="43.043010752688176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91"/>
    <x v="1"/>
    <n v="210"/>
    <n v="67.966666666666669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50"/>
    <x v="1"/>
    <n v="2100"/>
    <n v="89.991428571428571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57"/>
    <x v="1"/>
    <n v="252"/>
    <n v="58.095238095238095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"/>
    <x v="1"/>
    <n v="1280"/>
    <n v="83.996875000000003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8"/>
    <x v="1"/>
    <n v="157"/>
    <n v="88.853503184713375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"/>
    <x v="1"/>
    <n v="194"/>
    <n v="65.963917525773198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7"/>
    <x v="1"/>
    <n v="82"/>
    <n v="74.804878048780495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51"/>
    <x v="0"/>
    <n v="154"/>
    <n v="32.006493506493506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"/>
    <x v="0"/>
    <n v="22"/>
    <n v="64.727272727272734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9"/>
    <x v="1"/>
    <n v="4233"/>
    <n v="24.998110087408456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"/>
    <x v="1"/>
    <n v="1297"/>
    <n v="104.97764070932922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8"/>
    <x v="1"/>
    <n v="165"/>
    <n v="64.98787878787878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4"/>
    <x v="1"/>
    <n v="119"/>
    <n v="94.352941176470594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90"/>
    <x v="0"/>
    <n v="1758"/>
    <n v="44.001706484641637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75"/>
    <x v="0"/>
    <n v="94"/>
    <n v="64.744680851063833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3"/>
    <x v="1"/>
    <n v="1797"/>
    <n v="84.00667779632721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39"/>
    <x v="1"/>
    <n v="261"/>
    <n v="34.061302681992338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90"/>
    <x v="1"/>
    <n v="157"/>
    <n v="93.273885350318466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"/>
    <x v="1"/>
    <n v="3533"/>
    <n v="32.998301726577978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3"/>
    <x v="1"/>
    <n v="155"/>
    <n v="83.812903225806451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"/>
    <x v="1"/>
    <n v="132"/>
    <n v="63.99242424242424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1"/>
    <x v="0"/>
    <n v="33"/>
    <n v="81.909090909090907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"/>
    <x v="3"/>
    <n v="94"/>
    <n v="93.053191489361708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8"/>
    <x v="1"/>
    <n v="1354"/>
    <n v="101.98449039881831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9"/>
    <x v="1"/>
    <n v="48"/>
    <n v="105.9375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8"/>
    <x v="1"/>
    <n v="110"/>
    <n v="101.58181818181818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"/>
    <x v="1"/>
    <n v="172"/>
    <n v="62.970930232558139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"/>
    <x v="1"/>
    <n v="307"/>
    <n v="29.045602605863191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8"/>
    <x v="1"/>
    <n v="160"/>
    <n v="77.924999999999997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"/>
    <x v="0"/>
    <n v="31"/>
    <n v="80.8064516129032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"/>
    <x v="1"/>
    <n v="1467"/>
    <n v="76.006816632583508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4"/>
    <x v="1"/>
    <n v="2662"/>
    <n v="72.993613824192337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57"/>
    <x v="1"/>
    <n v="158"/>
    <n v="54.164556962025316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40"/>
    <x v="1"/>
    <n v="225"/>
    <n v="32.94666666666666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"/>
    <x v="0"/>
    <n v="35"/>
    <n v="79.371428571428567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6"/>
    <x v="0"/>
    <n v="63"/>
    <n v="41.174603174603178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52"/>
    <x v="1"/>
    <n v="65"/>
    <n v="77.430769230769229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6"/>
    <x v="1"/>
    <n v="163"/>
    <n v="57.159509202453989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"/>
    <x v="1"/>
    <n v="85"/>
    <n v="77.17647058823529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87"/>
    <x v="1"/>
    <n v="217"/>
    <n v="24.953917050691246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6"/>
    <x v="1"/>
    <n v="3272"/>
    <n v="46.000916870415651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43"/>
    <x v="3"/>
    <n v="898"/>
    <n v="88.023385300668153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5"/>
    <x v="1"/>
    <n v="126"/>
    <n v="102.69047619047619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4"/>
    <x v="0"/>
    <n v="526"/>
    <n v="72.958174904942965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90"/>
    <x v="0"/>
    <n v="121"/>
    <n v="57.190082644628099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3"/>
    <x v="1"/>
    <n v="2320"/>
    <n v="84.013793103448279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70"/>
    <x v="1"/>
    <n v="81"/>
    <n v="98.66666666666667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"/>
    <x v="1"/>
    <n v="1887"/>
    <n v="42.007419183889773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7"/>
    <x v="1"/>
    <n v="4358"/>
    <n v="32.002753556677376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"/>
    <x v="0"/>
    <n v="67"/>
    <n v="81.567164179104481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"/>
    <x v="0"/>
    <n v="57"/>
    <n v="37.03508771929824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"/>
    <x v="0"/>
    <n v="1229"/>
    <n v="103.033360455655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37"/>
    <x v="0"/>
    <n v="12"/>
    <n v="84.333333333333329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44"/>
    <x v="1"/>
    <n v="53"/>
    <n v="102.60377358490567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9"/>
    <x v="1"/>
    <n v="2414"/>
    <n v="79.992129246064621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9"/>
    <x v="0"/>
    <n v="452"/>
    <n v="70.055309734513273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8"/>
    <x v="1"/>
    <n v="193"/>
    <n v="41.911917098445599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"/>
    <x v="0"/>
    <n v="1886"/>
    <n v="57.992576882290564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18"/>
    <x v="1"/>
    <n v="52"/>
    <n v="40.942307692307693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85"/>
    <x v="0"/>
    <n v="1825"/>
    <n v="69.9972602739726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"/>
    <x v="0"/>
    <n v="31"/>
    <n v="73.838709677419359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10"/>
    <x v="1"/>
    <n v="290"/>
    <n v="41.979310344827589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70"/>
    <x v="1"/>
    <n v="122"/>
    <n v="77.93442622950819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6"/>
    <x v="1"/>
    <n v="1470"/>
    <n v="106.01972789115646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9"/>
    <x v="1"/>
    <n v="165"/>
    <n v="47.018181818181816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1"/>
    <x v="1"/>
    <n v="182"/>
    <n v="76.016483516483518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"/>
    <x v="1"/>
    <n v="199"/>
    <n v="54.120603015075375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9"/>
    <x v="1"/>
    <n v="56"/>
    <n v="57.285714285714285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7"/>
    <x v="0"/>
    <n v="107"/>
    <n v="103.81308411214954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"/>
    <x v="1"/>
    <n v="1460"/>
    <n v="105.02602739726028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28"/>
    <x v="0"/>
    <n v="27"/>
    <n v="90.259259259259252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52"/>
    <x v="0"/>
    <n v="1221"/>
    <n v="76.978705978705975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"/>
    <x v="1"/>
    <n v="123"/>
    <n v="102.60162601626017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56"/>
    <x v="1"/>
    <n v="159"/>
    <n v="55.0062893081761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52"/>
    <x v="1"/>
    <n v="110"/>
    <n v="32.127272727272725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2"/>
    <x v="2"/>
    <n v="14"/>
    <n v="50.642857142857146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"/>
    <x v="0"/>
    <n v="16"/>
    <n v="49.6875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4"/>
    <x v="1"/>
    <n v="236"/>
    <n v="54.89406779661016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3"/>
    <x v="1"/>
    <n v="191"/>
    <n v="46.931937172774866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"/>
    <x v="0"/>
    <n v="41"/>
    <n v="44.951219512195124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19"/>
    <x v="1"/>
    <n v="3934"/>
    <n v="30.99898322318251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9"/>
    <x v="1"/>
    <n v="80"/>
    <n v="107.7625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20"/>
    <x v="3"/>
    <n v="296"/>
    <n v="102.07770270270271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9"/>
    <x v="1"/>
    <n v="462"/>
    <n v="24.976190476190474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1"/>
    <x v="0"/>
    <n v="523"/>
    <n v="67.946462715105156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"/>
    <x v="0"/>
    <n v="141"/>
    <n v="26.070921985815602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6"/>
    <x v="1"/>
    <n v="1866"/>
    <n v="105.003215434083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"/>
    <x v="0"/>
    <n v="52"/>
    <n v="25.826923076923077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"/>
    <x v="2"/>
    <n v="27"/>
    <n v="77.666666666666671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"/>
    <x v="1"/>
    <n v="156"/>
    <n v="57.82692307692308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9"/>
    <x v="0"/>
    <n v="225"/>
    <n v="92.955555555555549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3"/>
    <x v="1"/>
    <n v="255"/>
    <n v="37.945098039215686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1"/>
    <x v="0"/>
    <n v="38"/>
    <n v="31.842105263157894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88"/>
    <x v="1"/>
    <n v="2289"/>
    <n v="84.006989951944078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"/>
    <x v="1"/>
    <n v="65"/>
    <n v="103.41538461538461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18"/>
    <x v="0"/>
    <n v="15"/>
    <n v="105.13333333333334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46"/>
    <x v="0"/>
    <n v="37"/>
    <n v="89.21621621621621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"/>
    <x v="1"/>
    <n v="3777"/>
    <n v="51.995234312946785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17"/>
    <x v="1"/>
    <n v="184"/>
    <n v="64.956521739130437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"/>
    <x v="1"/>
    <n v="85"/>
    <n v="46.235294117647058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3"/>
    <x v="0"/>
    <n v="112"/>
    <n v="51.151785714285715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"/>
    <x v="1"/>
    <n v="144"/>
    <n v="33.909722222222221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40"/>
    <x v="1"/>
    <n v="1902"/>
    <n v="92.01629863301788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2"/>
    <x v="1"/>
    <n v="105"/>
    <n v="107.42857142857143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"/>
    <x v="1"/>
    <n v="132"/>
    <n v="75.848484848484844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2"/>
    <x v="0"/>
    <n v="21"/>
    <n v="80.476190476190482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50"/>
    <x v="3"/>
    <n v="976"/>
    <n v="86.9784836065573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10"/>
    <x v="1"/>
    <n v="96"/>
    <n v="105.13541666666667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"/>
    <x v="0"/>
    <n v="67"/>
    <n v="57.298507462686565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62"/>
    <x v="2"/>
    <n v="66"/>
    <n v="93.348484848484844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13"/>
    <x v="0"/>
    <n v="78"/>
    <n v="71.987179487179489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65"/>
    <x v="0"/>
    <n v="67"/>
    <n v="92.611940298507463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60"/>
    <x v="1"/>
    <n v="114"/>
    <n v="104.9912280701754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81"/>
    <x v="0"/>
    <n v="263"/>
    <n v="30.958174904942965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"/>
    <x v="0"/>
    <n v="1691"/>
    <n v="33.001182732111175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10"/>
    <x v="0"/>
    <n v="181"/>
    <n v="84.187845303867405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27"/>
    <x v="0"/>
    <n v="13"/>
    <n v="73.92307692307692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63"/>
    <x v="3"/>
    <n v="160"/>
    <n v="36.987499999999997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"/>
    <x v="1"/>
    <n v="203"/>
    <n v="46.896551724137929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97"/>
    <x v="1"/>
    <n v="1559"/>
    <n v="102.0243745991019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70"/>
    <x v="3"/>
    <n v="2266"/>
    <n v="45.007502206531335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"/>
    <x v="1"/>
    <n v="1548"/>
    <n v="101.023255813953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19"/>
    <x v="0"/>
    <n v="830"/>
    <n v="43.00963855421687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7"/>
    <x v="1"/>
    <n v="131"/>
    <n v="94.91603053435115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5"/>
    <x v="1"/>
    <n v="112"/>
    <n v="72.151785714285708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5"/>
    <x v="0"/>
    <n v="130"/>
    <n v="51.007692307692309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"/>
    <x v="0"/>
    <n v="55"/>
    <n v="85.054545454545448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"/>
    <x v="1"/>
    <n v="155"/>
    <n v="43.87096774193548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"/>
    <x v="1"/>
    <n v="266"/>
    <n v="40.063909774436091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85"/>
    <x v="0"/>
    <n v="114"/>
    <n v="43.833333333333336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6"/>
    <x v="1"/>
    <n v="155"/>
    <n v="84.92903225806451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86"/>
    <x v="1"/>
    <n v="207"/>
    <n v="41.067632850241544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92"/>
    <x v="1"/>
    <n v="245"/>
    <n v="54.971428571428568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"/>
    <x v="1"/>
    <n v="1573"/>
    <n v="77.01080737444374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"/>
    <x v="1"/>
    <n v="114"/>
    <n v="71.201754385964918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08"/>
    <x v="1"/>
    <n v="93"/>
    <n v="91.935483870967744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1"/>
    <x v="0"/>
    <n v="594"/>
    <n v="97.069023569023571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28"/>
    <x v="0"/>
    <n v="24"/>
    <n v="58.91666666666666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"/>
    <x v="1"/>
    <n v="1681"/>
    <n v="58.015466983938133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2"/>
    <x v="0"/>
    <n v="252"/>
    <n v="103.87301587301587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4"/>
    <x v="1"/>
    <n v="32"/>
    <n v="93.46875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55"/>
    <x v="1"/>
    <n v="135"/>
    <n v="61.970370370370368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"/>
    <x v="1"/>
    <n v="140"/>
    <n v="92.042857142857144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74"/>
    <x v="0"/>
    <n v="67"/>
    <n v="77.268656716417908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"/>
    <x v="1"/>
    <n v="92"/>
    <n v="93.923913043478265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"/>
    <x v="1"/>
    <n v="1015"/>
    <n v="84.969458128078813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"/>
    <x v="0"/>
    <n v="742"/>
    <n v="105.97035040431267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"/>
    <x v="1"/>
    <n v="323"/>
    <n v="36.969040247678016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85"/>
    <x v="0"/>
    <n v="75"/>
    <n v="81.533333333333331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6"/>
    <x v="1"/>
    <n v="2326"/>
    <n v="80.999140154772135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"/>
    <x v="1"/>
    <n v="381"/>
    <n v="26.010498687664043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67"/>
    <x v="0"/>
    <n v="4405"/>
    <n v="25.998410896708286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"/>
    <x v="0"/>
    <n v="92"/>
    <n v="34.173913043478258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17"/>
    <x v="1"/>
    <n v="480"/>
    <n v="28.002083333333335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"/>
    <x v="0"/>
    <n v="64"/>
    <n v="76.546875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500"/>
    <x v="1"/>
    <n v="226"/>
    <n v="53.053097345132741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8"/>
    <x v="0"/>
    <n v="64"/>
    <n v="106.859375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"/>
    <x v="1"/>
    <n v="241"/>
    <n v="46.020746887966808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27"/>
    <x v="1"/>
    <n v="132"/>
    <n v="100.1742424242424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"/>
    <x v="0"/>
    <n v="842"/>
    <n v="87.972684085510693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"/>
    <x v="1"/>
    <n v="2043"/>
    <n v="74.995594713656388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3"/>
    <x v="0"/>
    <n v="112"/>
    <n v="42.982142857142854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61"/>
    <x v="3"/>
    <n v="139"/>
    <n v="33.115107913669064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7"/>
    <x v="0"/>
    <n v="374"/>
    <n v="101.131016042780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7"/>
    <x v="3"/>
    <n v="1122"/>
    <n v="55.98841354723708"/>
    <x v="1"/>
    <s v="USD"/>
    <n v="1467176400"/>
    <n v="1467781200"/>
    <x v="878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45F97C-9862-754F-88D4-545C5EDC4328}" name="PivotTable7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BEADBA-B543-134D-85DB-F6AF48D6A05D}" name="PivotTable8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29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5B27B-A5F7-9540-B531-85A238273BA0}" name="PivotTable9" cacheId="4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463C4-3FCC-B442-BA13-BF09C86429D0}">
  <sheetPr codeName="Sheet2"/>
  <dimension ref="A1:F14"/>
  <sheetViews>
    <sheetView workbookViewId="0">
      <selection activeCell="F11" sqref="F1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6</v>
      </c>
      <c r="B1" t="s">
        <v>2066</v>
      </c>
    </row>
    <row r="3" spans="1:6" x14ac:dyDescent="0.2">
      <c r="A3" s="5" t="s">
        <v>2069</v>
      </c>
      <c r="B3" s="5" t="s">
        <v>2070</v>
      </c>
    </row>
    <row r="4" spans="1:6" x14ac:dyDescent="0.2">
      <c r="A4" s="5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6" t="s">
        <v>2041</v>
      </c>
      <c r="B5" s="7">
        <v>11</v>
      </c>
      <c r="C5" s="7">
        <v>60</v>
      </c>
      <c r="D5" s="7">
        <v>5</v>
      </c>
      <c r="E5" s="7">
        <v>102</v>
      </c>
      <c r="F5" s="7">
        <v>178</v>
      </c>
    </row>
    <row r="6" spans="1:6" x14ac:dyDescent="0.2">
      <c r="A6" s="6" t="s">
        <v>2033</v>
      </c>
      <c r="B6" s="7">
        <v>4</v>
      </c>
      <c r="C6" s="7">
        <v>20</v>
      </c>
      <c r="D6" s="7"/>
      <c r="E6" s="7">
        <v>22</v>
      </c>
      <c r="F6" s="7">
        <v>46</v>
      </c>
    </row>
    <row r="7" spans="1:6" x14ac:dyDescent="0.2">
      <c r="A7" s="6" t="s">
        <v>2050</v>
      </c>
      <c r="B7" s="7">
        <v>1</v>
      </c>
      <c r="C7" s="7">
        <v>23</v>
      </c>
      <c r="D7" s="7">
        <v>3</v>
      </c>
      <c r="E7" s="7">
        <v>21</v>
      </c>
      <c r="F7" s="7">
        <v>48</v>
      </c>
    </row>
    <row r="8" spans="1:6" x14ac:dyDescent="0.2">
      <c r="A8" s="6" t="s">
        <v>2064</v>
      </c>
      <c r="B8" s="7"/>
      <c r="C8" s="7"/>
      <c r="D8" s="7"/>
      <c r="E8" s="7">
        <v>4</v>
      </c>
      <c r="F8" s="7">
        <v>4</v>
      </c>
    </row>
    <row r="9" spans="1:6" x14ac:dyDescent="0.2">
      <c r="A9" s="6" t="s">
        <v>2035</v>
      </c>
      <c r="B9" s="7">
        <v>10</v>
      </c>
      <c r="C9" s="7">
        <v>66</v>
      </c>
      <c r="D9" s="7"/>
      <c r="E9" s="7">
        <v>99</v>
      </c>
      <c r="F9" s="7">
        <v>175</v>
      </c>
    </row>
    <row r="10" spans="1:6" x14ac:dyDescent="0.2">
      <c r="A10" s="6" t="s">
        <v>2054</v>
      </c>
      <c r="B10" s="7">
        <v>4</v>
      </c>
      <c r="C10" s="7">
        <v>11</v>
      </c>
      <c r="D10" s="7">
        <v>1</v>
      </c>
      <c r="E10" s="7">
        <v>26</v>
      </c>
      <c r="F10" s="7">
        <v>42</v>
      </c>
    </row>
    <row r="11" spans="1:6" x14ac:dyDescent="0.2">
      <c r="A11" s="6" t="s">
        <v>2047</v>
      </c>
      <c r="B11" s="7">
        <v>2</v>
      </c>
      <c r="C11" s="7">
        <v>24</v>
      </c>
      <c r="D11" s="7">
        <v>1</v>
      </c>
      <c r="E11" s="7">
        <v>40</v>
      </c>
      <c r="F11" s="7">
        <v>67</v>
      </c>
    </row>
    <row r="12" spans="1:6" x14ac:dyDescent="0.2">
      <c r="A12" s="6" t="s">
        <v>2037</v>
      </c>
      <c r="B12" s="7">
        <v>2</v>
      </c>
      <c r="C12" s="7">
        <v>28</v>
      </c>
      <c r="D12" s="7">
        <v>2</v>
      </c>
      <c r="E12" s="7">
        <v>64</v>
      </c>
      <c r="F12" s="7">
        <v>96</v>
      </c>
    </row>
    <row r="13" spans="1:6" x14ac:dyDescent="0.2">
      <c r="A13" s="6" t="s">
        <v>2039</v>
      </c>
      <c r="B13" s="7">
        <v>23</v>
      </c>
      <c r="C13" s="7">
        <v>132</v>
      </c>
      <c r="D13" s="7">
        <v>2</v>
      </c>
      <c r="E13" s="7">
        <v>187</v>
      </c>
      <c r="F13" s="7">
        <v>344</v>
      </c>
    </row>
    <row r="14" spans="1:6" x14ac:dyDescent="0.2">
      <c r="A14" s="6" t="s">
        <v>2068</v>
      </c>
      <c r="B14" s="7">
        <v>57</v>
      </c>
      <c r="C14" s="7">
        <v>364</v>
      </c>
      <c r="D14" s="7">
        <v>14</v>
      </c>
      <c r="E14" s="7">
        <v>565</v>
      </c>
      <c r="F14" s="7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82F8A-1762-3B44-BD8E-A37D5D3EF1A1}">
  <sheetPr codeName="Sheet3"/>
  <dimension ref="A1:F29"/>
  <sheetViews>
    <sheetView topLeftCell="C1" workbookViewId="0">
      <selection activeCell="H26" sqref="H26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6</v>
      </c>
      <c r="B1" t="s">
        <v>2066</v>
      </c>
    </row>
    <row r="3" spans="1:6" x14ac:dyDescent="0.2">
      <c r="A3" s="5" t="s">
        <v>2069</v>
      </c>
      <c r="B3" s="5" t="s">
        <v>2070</v>
      </c>
    </row>
    <row r="4" spans="1:6" x14ac:dyDescent="0.2">
      <c r="A4" s="5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6" t="s">
        <v>2049</v>
      </c>
      <c r="B5" s="7">
        <v>1</v>
      </c>
      <c r="C5" s="7">
        <v>10</v>
      </c>
      <c r="D5" s="7">
        <v>2</v>
      </c>
      <c r="E5" s="7">
        <v>21</v>
      </c>
      <c r="F5" s="7">
        <v>34</v>
      </c>
    </row>
    <row r="6" spans="1:6" x14ac:dyDescent="0.2">
      <c r="A6" s="6" t="s">
        <v>2065</v>
      </c>
      <c r="B6" s="7"/>
      <c r="C6" s="7"/>
      <c r="D6" s="7"/>
      <c r="E6" s="7">
        <v>4</v>
      </c>
      <c r="F6" s="7">
        <v>4</v>
      </c>
    </row>
    <row r="7" spans="1:6" x14ac:dyDescent="0.2">
      <c r="A7" s="6" t="s">
        <v>2042</v>
      </c>
      <c r="B7" s="7">
        <v>4</v>
      </c>
      <c r="C7" s="7">
        <v>21</v>
      </c>
      <c r="D7" s="7">
        <v>1</v>
      </c>
      <c r="E7" s="7">
        <v>34</v>
      </c>
      <c r="F7" s="7">
        <v>60</v>
      </c>
    </row>
    <row r="8" spans="1:6" x14ac:dyDescent="0.2">
      <c r="A8" s="6" t="s">
        <v>2044</v>
      </c>
      <c r="B8" s="7">
        <v>2</v>
      </c>
      <c r="C8" s="7">
        <v>12</v>
      </c>
      <c r="D8" s="7">
        <v>1</v>
      </c>
      <c r="E8" s="7">
        <v>22</v>
      </c>
      <c r="F8" s="7">
        <v>37</v>
      </c>
    </row>
    <row r="9" spans="1:6" x14ac:dyDescent="0.2">
      <c r="A9" s="6" t="s">
        <v>2043</v>
      </c>
      <c r="B9" s="7"/>
      <c r="C9" s="7">
        <v>8</v>
      </c>
      <c r="D9" s="7"/>
      <c r="E9" s="7">
        <v>10</v>
      </c>
      <c r="F9" s="7">
        <v>18</v>
      </c>
    </row>
    <row r="10" spans="1:6" x14ac:dyDescent="0.2">
      <c r="A10" s="6" t="s">
        <v>2053</v>
      </c>
      <c r="B10" s="7">
        <v>1</v>
      </c>
      <c r="C10" s="7">
        <v>7</v>
      </c>
      <c r="D10" s="7"/>
      <c r="E10" s="7">
        <v>9</v>
      </c>
      <c r="F10" s="7">
        <v>17</v>
      </c>
    </row>
    <row r="11" spans="1:6" x14ac:dyDescent="0.2">
      <c r="A11" s="6" t="s">
        <v>2034</v>
      </c>
      <c r="B11" s="7">
        <v>4</v>
      </c>
      <c r="C11" s="7">
        <v>20</v>
      </c>
      <c r="D11" s="7"/>
      <c r="E11" s="7">
        <v>22</v>
      </c>
      <c r="F11" s="7">
        <v>46</v>
      </c>
    </row>
    <row r="12" spans="1:6" x14ac:dyDescent="0.2">
      <c r="A12" s="6" t="s">
        <v>2045</v>
      </c>
      <c r="B12" s="7">
        <v>3</v>
      </c>
      <c r="C12" s="7">
        <v>19</v>
      </c>
      <c r="D12" s="7"/>
      <c r="E12" s="7">
        <v>23</v>
      </c>
      <c r="F12" s="7">
        <v>45</v>
      </c>
    </row>
    <row r="13" spans="1:6" x14ac:dyDescent="0.2">
      <c r="A13" s="6" t="s">
        <v>2058</v>
      </c>
      <c r="B13" s="7">
        <v>1</v>
      </c>
      <c r="C13" s="7">
        <v>6</v>
      </c>
      <c r="D13" s="7"/>
      <c r="E13" s="7">
        <v>10</v>
      </c>
      <c r="F13" s="7">
        <v>17</v>
      </c>
    </row>
    <row r="14" spans="1:6" x14ac:dyDescent="0.2">
      <c r="A14" s="6" t="s">
        <v>2057</v>
      </c>
      <c r="B14" s="7"/>
      <c r="C14" s="7">
        <v>3</v>
      </c>
      <c r="D14" s="7"/>
      <c r="E14" s="7">
        <v>4</v>
      </c>
      <c r="F14" s="7">
        <v>7</v>
      </c>
    </row>
    <row r="15" spans="1:6" x14ac:dyDescent="0.2">
      <c r="A15" s="6" t="s">
        <v>2061</v>
      </c>
      <c r="B15" s="7"/>
      <c r="C15" s="7">
        <v>8</v>
      </c>
      <c r="D15" s="7">
        <v>1</v>
      </c>
      <c r="E15" s="7">
        <v>4</v>
      </c>
      <c r="F15" s="7">
        <v>13</v>
      </c>
    </row>
    <row r="16" spans="1:6" x14ac:dyDescent="0.2">
      <c r="A16" s="6" t="s">
        <v>2048</v>
      </c>
      <c r="B16" s="7">
        <v>1</v>
      </c>
      <c r="C16" s="7">
        <v>6</v>
      </c>
      <c r="D16" s="7">
        <v>1</v>
      </c>
      <c r="E16" s="7">
        <v>13</v>
      </c>
      <c r="F16" s="7">
        <v>21</v>
      </c>
    </row>
    <row r="17" spans="1:6" x14ac:dyDescent="0.2">
      <c r="A17" s="6" t="s">
        <v>2055</v>
      </c>
      <c r="B17" s="7">
        <v>4</v>
      </c>
      <c r="C17" s="7">
        <v>11</v>
      </c>
      <c r="D17" s="7">
        <v>1</v>
      </c>
      <c r="E17" s="7">
        <v>26</v>
      </c>
      <c r="F17" s="7">
        <v>42</v>
      </c>
    </row>
    <row r="18" spans="1:6" x14ac:dyDescent="0.2">
      <c r="A18" s="6" t="s">
        <v>2040</v>
      </c>
      <c r="B18" s="7">
        <v>23</v>
      </c>
      <c r="C18" s="7">
        <v>132</v>
      </c>
      <c r="D18" s="7">
        <v>2</v>
      </c>
      <c r="E18" s="7">
        <v>187</v>
      </c>
      <c r="F18" s="7">
        <v>344</v>
      </c>
    </row>
    <row r="19" spans="1:6" x14ac:dyDescent="0.2">
      <c r="A19" s="6" t="s">
        <v>2056</v>
      </c>
      <c r="B19" s="7"/>
      <c r="C19" s="7">
        <v>4</v>
      </c>
      <c r="D19" s="7"/>
      <c r="E19" s="7">
        <v>4</v>
      </c>
      <c r="F19" s="7">
        <v>8</v>
      </c>
    </row>
    <row r="20" spans="1:6" x14ac:dyDescent="0.2">
      <c r="A20" s="6" t="s">
        <v>2036</v>
      </c>
      <c r="B20" s="7">
        <v>6</v>
      </c>
      <c r="C20" s="7">
        <v>30</v>
      </c>
      <c r="D20" s="7"/>
      <c r="E20" s="7">
        <v>49</v>
      </c>
      <c r="F20" s="7">
        <v>85</v>
      </c>
    </row>
    <row r="21" spans="1:6" x14ac:dyDescent="0.2">
      <c r="A21" s="6" t="s">
        <v>2063</v>
      </c>
      <c r="B21" s="7"/>
      <c r="C21" s="7">
        <v>9</v>
      </c>
      <c r="D21" s="7"/>
      <c r="E21" s="7">
        <v>5</v>
      </c>
      <c r="F21" s="7">
        <v>14</v>
      </c>
    </row>
    <row r="22" spans="1:6" x14ac:dyDescent="0.2">
      <c r="A22" s="6" t="s">
        <v>2052</v>
      </c>
      <c r="B22" s="7">
        <v>1</v>
      </c>
      <c r="C22" s="7">
        <v>5</v>
      </c>
      <c r="D22" s="7">
        <v>1</v>
      </c>
      <c r="E22" s="7">
        <v>9</v>
      </c>
      <c r="F22" s="7">
        <v>16</v>
      </c>
    </row>
    <row r="23" spans="1:6" x14ac:dyDescent="0.2">
      <c r="A23" s="6" t="s">
        <v>2060</v>
      </c>
      <c r="B23" s="7">
        <v>3</v>
      </c>
      <c r="C23" s="7">
        <v>3</v>
      </c>
      <c r="D23" s="7"/>
      <c r="E23" s="7">
        <v>11</v>
      </c>
      <c r="F23" s="7">
        <v>17</v>
      </c>
    </row>
    <row r="24" spans="1:6" x14ac:dyDescent="0.2">
      <c r="A24" s="6" t="s">
        <v>2059</v>
      </c>
      <c r="B24" s="7"/>
      <c r="C24" s="7">
        <v>7</v>
      </c>
      <c r="D24" s="7"/>
      <c r="E24" s="7">
        <v>14</v>
      </c>
      <c r="F24" s="7">
        <v>21</v>
      </c>
    </row>
    <row r="25" spans="1:6" x14ac:dyDescent="0.2">
      <c r="A25" s="6" t="s">
        <v>2051</v>
      </c>
      <c r="B25" s="7">
        <v>1</v>
      </c>
      <c r="C25" s="7">
        <v>15</v>
      </c>
      <c r="D25" s="7">
        <v>2</v>
      </c>
      <c r="E25" s="7">
        <v>17</v>
      </c>
      <c r="F25" s="7">
        <v>35</v>
      </c>
    </row>
    <row r="26" spans="1:6" x14ac:dyDescent="0.2">
      <c r="A26" s="6" t="s">
        <v>2046</v>
      </c>
      <c r="B26" s="7"/>
      <c r="C26" s="7">
        <v>16</v>
      </c>
      <c r="D26" s="7">
        <v>1</v>
      </c>
      <c r="E26" s="7">
        <v>28</v>
      </c>
      <c r="F26" s="7">
        <v>45</v>
      </c>
    </row>
    <row r="27" spans="1:6" x14ac:dyDescent="0.2">
      <c r="A27" s="6" t="s">
        <v>2038</v>
      </c>
      <c r="B27" s="7">
        <v>2</v>
      </c>
      <c r="C27" s="7">
        <v>12</v>
      </c>
      <c r="D27" s="7">
        <v>1</v>
      </c>
      <c r="E27" s="7">
        <v>36</v>
      </c>
      <c r="F27" s="7">
        <v>51</v>
      </c>
    </row>
    <row r="28" spans="1:6" x14ac:dyDescent="0.2">
      <c r="A28" s="6" t="s">
        <v>2062</v>
      </c>
      <c r="B28" s="7"/>
      <c r="C28" s="7"/>
      <c r="D28" s="7"/>
      <c r="E28" s="7">
        <v>3</v>
      </c>
      <c r="F28" s="7">
        <v>3</v>
      </c>
    </row>
    <row r="29" spans="1:6" x14ac:dyDescent="0.2">
      <c r="A29" s="6" t="s">
        <v>2068</v>
      </c>
      <c r="B29" s="7">
        <v>57</v>
      </c>
      <c r="C29" s="7">
        <v>364</v>
      </c>
      <c r="D29" s="7">
        <v>14</v>
      </c>
      <c r="E29" s="7">
        <v>565</v>
      </c>
      <c r="F29" s="7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DA516-48D2-224C-95DE-AB1C41F147BB}">
  <sheetPr codeName="Sheet4"/>
  <dimension ref="A1:F18"/>
  <sheetViews>
    <sheetView workbookViewId="0">
      <selection activeCell="L20" sqref="L20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2031</v>
      </c>
      <c r="B1" t="s">
        <v>2066</v>
      </c>
    </row>
    <row r="2" spans="1:6" x14ac:dyDescent="0.2">
      <c r="A2" s="5" t="s">
        <v>2085</v>
      </c>
      <c r="B2" t="s">
        <v>2066</v>
      </c>
    </row>
    <row r="4" spans="1:6" x14ac:dyDescent="0.2">
      <c r="A4" s="5" t="s">
        <v>2069</v>
      </c>
      <c r="B4" s="5" t="s">
        <v>2070</v>
      </c>
    </row>
    <row r="5" spans="1:6" x14ac:dyDescent="0.2">
      <c r="A5" s="5" t="s">
        <v>2067</v>
      </c>
      <c r="B5" t="s">
        <v>74</v>
      </c>
      <c r="C5" t="s">
        <v>14</v>
      </c>
      <c r="D5" t="s">
        <v>47</v>
      </c>
      <c r="E5" t="s">
        <v>20</v>
      </c>
      <c r="F5" t="s">
        <v>2068</v>
      </c>
    </row>
    <row r="6" spans="1:6" x14ac:dyDescent="0.2">
      <c r="A6" s="10" t="s">
        <v>2073</v>
      </c>
      <c r="B6" s="7">
        <v>6</v>
      </c>
      <c r="C6" s="7">
        <v>36</v>
      </c>
      <c r="D6" s="7">
        <v>1</v>
      </c>
      <c r="E6" s="7">
        <v>49</v>
      </c>
      <c r="F6" s="7">
        <v>92</v>
      </c>
    </row>
    <row r="7" spans="1:6" x14ac:dyDescent="0.2">
      <c r="A7" s="10" t="s">
        <v>2074</v>
      </c>
      <c r="B7" s="7">
        <v>7</v>
      </c>
      <c r="C7" s="7">
        <v>28</v>
      </c>
      <c r="D7" s="7"/>
      <c r="E7" s="7">
        <v>44</v>
      </c>
      <c r="F7" s="7">
        <v>79</v>
      </c>
    </row>
    <row r="8" spans="1:6" x14ac:dyDescent="0.2">
      <c r="A8" s="10" t="s">
        <v>2075</v>
      </c>
      <c r="B8" s="7">
        <v>4</v>
      </c>
      <c r="C8" s="7">
        <v>33</v>
      </c>
      <c r="D8" s="7"/>
      <c r="E8" s="7">
        <v>49</v>
      </c>
      <c r="F8" s="7">
        <v>86</v>
      </c>
    </row>
    <row r="9" spans="1:6" x14ac:dyDescent="0.2">
      <c r="A9" s="10" t="s">
        <v>2076</v>
      </c>
      <c r="B9" s="7">
        <v>1</v>
      </c>
      <c r="C9" s="7">
        <v>30</v>
      </c>
      <c r="D9" s="7">
        <v>1</v>
      </c>
      <c r="E9" s="7">
        <v>46</v>
      </c>
      <c r="F9" s="7">
        <v>78</v>
      </c>
    </row>
    <row r="10" spans="1:6" x14ac:dyDescent="0.2">
      <c r="A10" s="10" t="s">
        <v>2077</v>
      </c>
      <c r="B10" s="7">
        <v>3</v>
      </c>
      <c r="C10" s="7">
        <v>35</v>
      </c>
      <c r="D10" s="7">
        <v>2</v>
      </c>
      <c r="E10" s="7">
        <v>46</v>
      </c>
      <c r="F10" s="7">
        <v>86</v>
      </c>
    </row>
    <row r="11" spans="1:6" x14ac:dyDescent="0.2">
      <c r="A11" s="10" t="s">
        <v>2078</v>
      </c>
      <c r="B11" s="7">
        <v>3</v>
      </c>
      <c r="C11" s="7">
        <v>28</v>
      </c>
      <c r="D11" s="7">
        <v>1</v>
      </c>
      <c r="E11" s="7">
        <v>55</v>
      </c>
      <c r="F11" s="7">
        <v>87</v>
      </c>
    </row>
    <row r="12" spans="1:6" x14ac:dyDescent="0.2">
      <c r="A12" s="10" t="s">
        <v>2079</v>
      </c>
      <c r="B12" s="7">
        <v>4</v>
      </c>
      <c r="C12" s="7">
        <v>31</v>
      </c>
      <c r="D12" s="7">
        <v>1</v>
      </c>
      <c r="E12" s="7">
        <v>58</v>
      </c>
      <c r="F12" s="7">
        <v>94</v>
      </c>
    </row>
    <row r="13" spans="1:6" x14ac:dyDescent="0.2">
      <c r="A13" s="10" t="s">
        <v>2080</v>
      </c>
      <c r="B13" s="7">
        <v>8</v>
      </c>
      <c r="C13" s="7">
        <v>35</v>
      </c>
      <c r="D13" s="7">
        <v>1</v>
      </c>
      <c r="E13" s="7">
        <v>41</v>
      </c>
      <c r="F13" s="7">
        <v>85</v>
      </c>
    </row>
    <row r="14" spans="1:6" x14ac:dyDescent="0.2">
      <c r="A14" s="10" t="s">
        <v>2081</v>
      </c>
      <c r="B14" s="7">
        <v>5</v>
      </c>
      <c r="C14" s="7">
        <v>23</v>
      </c>
      <c r="D14" s="7"/>
      <c r="E14" s="7">
        <v>45</v>
      </c>
      <c r="F14" s="7">
        <v>73</v>
      </c>
    </row>
    <row r="15" spans="1:6" x14ac:dyDescent="0.2">
      <c r="A15" s="10" t="s">
        <v>2082</v>
      </c>
      <c r="B15" s="7">
        <v>6</v>
      </c>
      <c r="C15" s="7">
        <v>26</v>
      </c>
      <c r="D15" s="7">
        <v>1</v>
      </c>
      <c r="E15" s="7">
        <v>45</v>
      </c>
      <c r="F15" s="7">
        <v>78</v>
      </c>
    </row>
    <row r="16" spans="1:6" x14ac:dyDescent="0.2">
      <c r="A16" s="10" t="s">
        <v>2083</v>
      </c>
      <c r="B16" s="7">
        <v>3</v>
      </c>
      <c r="C16" s="7">
        <v>27</v>
      </c>
      <c r="D16" s="7">
        <v>3</v>
      </c>
      <c r="E16" s="7">
        <v>45</v>
      </c>
      <c r="F16" s="7">
        <v>78</v>
      </c>
    </row>
    <row r="17" spans="1:6" x14ac:dyDescent="0.2">
      <c r="A17" s="10" t="s">
        <v>2084</v>
      </c>
      <c r="B17" s="7">
        <v>7</v>
      </c>
      <c r="C17" s="7">
        <v>32</v>
      </c>
      <c r="D17" s="7">
        <v>3</v>
      </c>
      <c r="E17" s="7">
        <v>42</v>
      </c>
      <c r="F17" s="7">
        <v>84</v>
      </c>
    </row>
    <row r="18" spans="1:6" x14ac:dyDescent="0.2">
      <c r="A18" s="10" t="s">
        <v>2068</v>
      </c>
      <c r="B18" s="7">
        <v>57</v>
      </c>
      <c r="C18" s="7">
        <v>364</v>
      </c>
      <c r="D18" s="7">
        <v>14</v>
      </c>
      <c r="E18" s="7">
        <v>565</v>
      </c>
      <c r="F18" s="7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F6BCA-4C5F-9D45-A2CF-8EB8168ADE0A}">
  <sheetPr codeName="Sheet5"/>
  <dimension ref="A1:H13"/>
  <sheetViews>
    <sheetView topLeftCell="C1" workbookViewId="0">
      <selection activeCell="M12" sqref="M12"/>
    </sheetView>
  </sheetViews>
  <sheetFormatPr baseColWidth="10" defaultRowHeight="16" x14ac:dyDescent="0.2"/>
  <cols>
    <col min="1" max="1" width="27" bestFit="1" customWidth="1"/>
    <col min="2" max="2" width="17" bestFit="1" customWidth="1"/>
    <col min="3" max="3" width="13.33203125" bestFit="1" customWidth="1"/>
    <col min="4" max="4" width="15.6640625" bestFit="1" customWidth="1"/>
    <col min="5" max="5" width="12.33203125" bestFit="1" customWidth="1"/>
    <col min="6" max="6" width="19.5" bestFit="1" customWidth="1"/>
    <col min="7" max="7" width="15.83203125" bestFit="1" customWidth="1"/>
    <col min="8" max="8" width="18.33203125" bestFit="1" customWidth="1"/>
  </cols>
  <sheetData>
    <row r="1" spans="1:8" x14ac:dyDescent="0.2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2">
      <c r="A2" s="11" t="s">
        <v>2094</v>
      </c>
      <c r="B2">
        <f>COUNTIFS(Crowdfunding!$G:$G,"successful", Crowdfunding!$D:$D, "&lt;1000")</f>
        <v>30</v>
      </c>
      <c r="C2">
        <f>COUNTIFS(Crowdfunding!$G:$G,"failed", Crowdfunding!$D:$D, "&lt;1000")</f>
        <v>20</v>
      </c>
      <c r="D2">
        <f>COUNTIFS(Crowdfunding!$G:$G,"canceled", Crowdfunding!$D:$D, "&lt;1000")</f>
        <v>1</v>
      </c>
      <c r="E2">
        <f>(B2+C2+D2)</f>
        <v>51</v>
      </c>
      <c r="F2">
        <f>ROUND(B2/$E2*100,0)</f>
        <v>59</v>
      </c>
      <c r="G2">
        <f>ROUND(C2/$E2*100,0)</f>
        <v>39</v>
      </c>
      <c r="H2">
        <f>ROUND(D2/$E2*100,0)</f>
        <v>2</v>
      </c>
    </row>
    <row r="3" spans="1:8" x14ac:dyDescent="0.2">
      <c r="A3" s="11" t="s">
        <v>2095</v>
      </c>
      <c r="B3">
        <f>COUNTIFS(Crowdfunding!$G:$G,"successful", Crowdfunding!$D:$D, "&gt;=1000", Crowdfunding!$D:$D, "&lt;5000")</f>
        <v>191</v>
      </c>
      <c r="C3">
        <f>COUNTIFS(Crowdfunding!$G:$G,"failed", Crowdfunding!$D:$D, "&gt;=1000", Crowdfunding!$D:$D, "&lt;5000")</f>
        <v>38</v>
      </c>
      <c r="D3">
        <f>COUNTIFS(Crowdfunding!$G:$G,"canceled", Crowdfunding!$D:$D, "&gt;=1000", Crowdfunding!$D:$D, "&lt;5000")</f>
        <v>2</v>
      </c>
      <c r="E3">
        <f t="shared" ref="E3:E13" si="0">(B3+C3+D3)</f>
        <v>231</v>
      </c>
      <c r="F3">
        <f t="shared" ref="F3:F13" si="1">ROUND(B3/$E3*100,0)</f>
        <v>83</v>
      </c>
      <c r="G3">
        <f t="shared" ref="G3:G13" si="2">ROUND(C3/$E3*100,0)</f>
        <v>16</v>
      </c>
      <c r="H3">
        <f t="shared" ref="H3:H13" si="3">ROUND(D3/$E3*100,0)</f>
        <v>1</v>
      </c>
    </row>
    <row r="4" spans="1:8" x14ac:dyDescent="0.2">
      <c r="A4" s="11" t="s">
        <v>2096</v>
      </c>
      <c r="B4">
        <f>COUNTIFS(Crowdfunding!$G:$G,"successful", Crowdfunding!$D:$D, "&gt;=5000", Crowdfunding!$D:$D, "&lt;10000")</f>
        <v>164</v>
      </c>
      <c r="C4">
        <f>COUNTIFS(Crowdfunding!$G:$G,"failed", Crowdfunding!$D:$D, "&gt;=5000", Crowdfunding!$D:$D, "&lt;10000")</f>
        <v>126</v>
      </c>
      <c r="D4">
        <f>COUNTIFS(Crowdfunding!$G:$G,"canceled", Crowdfunding!$D:$D, "&gt;=5000", Crowdfunding!$D:$D, "&lt;10000")</f>
        <v>25</v>
      </c>
      <c r="E4">
        <f t="shared" si="0"/>
        <v>315</v>
      </c>
      <c r="F4">
        <f t="shared" si="1"/>
        <v>52</v>
      </c>
      <c r="G4">
        <f t="shared" si="2"/>
        <v>40</v>
      </c>
      <c r="H4">
        <f t="shared" si="3"/>
        <v>8</v>
      </c>
    </row>
    <row r="5" spans="1:8" x14ac:dyDescent="0.2">
      <c r="A5" s="11" t="s">
        <v>2097</v>
      </c>
      <c r="B5">
        <f>COUNTIFS(Crowdfunding!$G:$G,"successful", Crowdfunding!$D:$D, "&gt;=10000", Crowdfunding!$D:$D, "&lt;15000")</f>
        <v>4</v>
      </c>
      <c r="C5">
        <f>COUNTIFS(Crowdfunding!$G:$G,"failed", Crowdfunding!$D:$D, "&gt;=10000", Crowdfunding!$D:$D, "&lt;15000")</f>
        <v>5</v>
      </c>
      <c r="D5">
        <f>COUNTIFS(Crowdfunding!$G:$G,"canceled", Crowdfunding!$D:$D, "&gt;=10000", Crowdfunding!$D:$D, "&lt;15000")</f>
        <v>0</v>
      </c>
      <c r="E5">
        <f t="shared" si="0"/>
        <v>9</v>
      </c>
      <c r="F5">
        <f t="shared" si="1"/>
        <v>44</v>
      </c>
      <c r="G5">
        <f t="shared" si="2"/>
        <v>56</v>
      </c>
      <c r="H5">
        <f t="shared" si="3"/>
        <v>0</v>
      </c>
    </row>
    <row r="6" spans="1:8" x14ac:dyDescent="0.2">
      <c r="A6" s="11" t="s">
        <v>2098</v>
      </c>
      <c r="B6">
        <f>COUNTIFS(Crowdfunding!$G:$G,"successful", Crowdfunding!$D:$D, "&gt;=15000", Crowdfunding!$D:$D, "&lt;20000")</f>
        <v>10</v>
      </c>
      <c r="C6">
        <f>COUNTIFS(Crowdfunding!$G:$G,"failed", Crowdfunding!$D:$D, "&gt;=15000", Crowdfunding!$D:$D, "&lt;20000")</f>
        <v>0</v>
      </c>
      <c r="D6">
        <f>COUNTIFS(Crowdfunding!$G:$G,"canceled", Crowdfunding!$D:$D, "&gt;=15000", Crowdfunding!$D:$D, "&lt;20000")</f>
        <v>0</v>
      </c>
      <c r="E6">
        <f t="shared" si="0"/>
        <v>10</v>
      </c>
      <c r="F6">
        <f t="shared" si="1"/>
        <v>100</v>
      </c>
      <c r="G6">
        <f t="shared" si="2"/>
        <v>0</v>
      </c>
      <c r="H6">
        <f t="shared" si="3"/>
        <v>0</v>
      </c>
    </row>
    <row r="7" spans="1:8" x14ac:dyDescent="0.2">
      <c r="A7" s="11" t="s">
        <v>2099</v>
      </c>
      <c r="B7">
        <f>COUNTIFS(Crowdfunding!$G:$G,"successful", Crowdfunding!$D:$D, "&gt;=20000", Crowdfunding!$D:$D, "&lt;25000")</f>
        <v>7</v>
      </c>
      <c r="C7">
        <f>COUNTIFS(Crowdfunding!$G:$G,"failed", Crowdfunding!$D:$D, "&gt;=20000", Crowdfunding!$D:$D, "&lt;25000")</f>
        <v>0</v>
      </c>
      <c r="D7">
        <f>COUNTIFS(Crowdfunding!$G:$G,"canceled", Crowdfunding!$D:$D, "&gt;=20000", Crowdfunding!$D:$D, "&lt;25000")</f>
        <v>0</v>
      </c>
      <c r="E7">
        <f t="shared" si="0"/>
        <v>7</v>
      </c>
      <c r="F7">
        <f t="shared" si="1"/>
        <v>100</v>
      </c>
      <c r="G7">
        <f t="shared" si="2"/>
        <v>0</v>
      </c>
      <c r="H7">
        <f t="shared" si="3"/>
        <v>0</v>
      </c>
    </row>
    <row r="8" spans="1:8" x14ac:dyDescent="0.2">
      <c r="A8" s="11" t="s">
        <v>2100</v>
      </c>
      <c r="B8">
        <f>COUNTIFS(Crowdfunding!$G:$G,"successful", Crowdfunding!$D:$D, "&gt;=25000", Crowdfunding!$D:$D, "&lt;30000")</f>
        <v>11</v>
      </c>
      <c r="C8">
        <f>COUNTIFS(Crowdfunding!$G:$G,"failed", Crowdfunding!$D:$D, "&gt;=25000", Crowdfunding!$D:$D, "&lt;30000")</f>
        <v>3</v>
      </c>
      <c r="D8">
        <f>COUNTIFS(Crowdfunding!$G:$G,"canceled", Crowdfunding!$D:$D, "&gt;=25000", Crowdfunding!$D:$D, "&lt;30000")</f>
        <v>0</v>
      </c>
      <c r="E8">
        <f t="shared" si="0"/>
        <v>14</v>
      </c>
      <c r="F8">
        <f t="shared" si="1"/>
        <v>79</v>
      </c>
      <c r="G8">
        <f t="shared" si="2"/>
        <v>21</v>
      </c>
      <c r="H8">
        <f t="shared" si="3"/>
        <v>0</v>
      </c>
    </row>
    <row r="9" spans="1:8" x14ac:dyDescent="0.2">
      <c r="A9" s="11" t="s">
        <v>2101</v>
      </c>
      <c r="B9">
        <f>COUNTIFS(Crowdfunding!$G:$G,"successful", Crowdfunding!$D:$D, "&gt;=30000", Crowdfunding!$D:$D, "&lt;35000")</f>
        <v>7</v>
      </c>
      <c r="C9">
        <f>COUNTIFS(Crowdfunding!$G:$G,"failed", Crowdfunding!$D:$D, "&gt;=30000", Crowdfunding!$D:$D, "&lt;35000")</f>
        <v>0</v>
      </c>
      <c r="D9">
        <f>COUNTIFS(Crowdfunding!$G:$G,"canceled", Crowdfunding!$D:$D, "&gt;=30000", Crowdfunding!$D:$D, "&lt;35000")</f>
        <v>0</v>
      </c>
      <c r="E9">
        <f t="shared" si="0"/>
        <v>7</v>
      </c>
      <c r="F9">
        <f t="shared" si="1"/>
        <v>100</v>
      </c>
      <c r="G9">
        <f t="shared" si="2"/>
        <v>0</v>
      </c>
      <c r="H9">
        <f t="shared" si="3"/>
        <v>0</v>
      </c>
    </row>
    <row r="10" spans="1:8" x14ac:dyDescent="0.2">
      <c r="A10" s="11" t="s">
        <v>2102</v>
      </c>
      <c r="B10">
        <f>COUNTIFS(Crowdfunding!$G:$G,"successful", Crowdfunding!$D:$D, "&gt;=35000", Crowdfunding!$D:$D, "&lt;40000")</f>
        <v>8</v>
      </c>
      <c r="C10">
        <f>COUNTIFS(Crowdfunding!$G:$G,"failed", Crowdfunding!$D:$D, "&gt;=35000", Crowdfunding!$D:$D, "&lt;40000")</f>
        <v>3</v>
      </c>
      <c r="D10">
        <f>COUNTIFS(Crowdfunding!$G:$G,"canceled", Crowdfunding!$D:$D, "&gt;=35000", Crowdfunding!$D:$D, "&lt;40000")</f>
        <v>1</v>
      </c>
      <c r="E10">
        <f t="shared" si="0"/>
        <v>12</v>
      </c>
      <c r="F10">
        <f t="shared" si="1"/>
        <v>67</v>
      </c>
      <c r="G10">
        <f t="shared" si="2"/>
        <v>25</v>
      </c>
      <c r="H10">
        <f t="shared" si="3"/>
        <v>8</v>
      </c>
    </row>
    <row r="11" spans="1:8" x14ac:dyDescent="0.2">
      <c r="A11" s="11" t="s">
        <v>2103</v>
      </c>
      <c r="B11">
        <f>COUNTIFS(Crowdfunding!$G:$G,"successful", Crowdfunding!$D:$D, "&gt;=40000", Crowdfunding!$D:$D, "&lt;45000")</f>
        <v>11</v>
      </c>
      <c r="C11">
        <f>COUNTIFS(Crowdfunding!$G:$G,"failed", Crowdfunding!$D:$D, "&gt;=40000", Crowdfunding!$D:$D, "&lt;45000")</f>
        <v>3</v>
      </c>
      <c r="D11">
        <f>COUNTIFS(Crowdfunding!$G:$G,"canceled", Crowdfunding!$D:$D, "&gt;=40000", Crowdfunding!$D:$D, "&lt;45000")</f>
        <v>0</v>
      </c>
      <c r="E11">
        <f t="shared" si="0"/>
        <v>14</v>
      </c>
      <c r="F11">
        <f t="shared" si="1"/>
        <v>79</v>
      </c>
      <c r="G11">
        <f t="shared" si="2"/>
        <v>21</v>
      </c>
      <c r="H11">
        <f t="shared" si="3"/>
        <v>0</v>
      </c>
    </row>
    <row r="12" spans="1:8" x14ac:dyDescent="0.2">
      <c r="A12" s="11" t="s">
        <v>2104</v>
      </c>
      <c r="B12">
        <f>COUNTIFS(Crowdfunding!$G:$G,"successful", Crowdfunding!$D:$D, "&gt;=45000", Crowdfunding!$D:$D, "&lt;50000")</f>
        <v>8</v>
      </c>
      <c r="C12">
        <f>COUNTIFS(Crowdfunding!$G:$G,"failed", Crowdfunding!$D:$D, "&gt;=45000", Crowdfunding!$D:$D, "&lt;50000")</f>
        <v>3</v>
      </c>
      <c r="D12">
        <f>COUNTIFS(Crowdfunding!$G:$G,"canceled", Crowdfunding!$D:$D, "&gt;=45000", Crowdfunding!$D:$D, "&lt;50000")</f>
        <v>0</v>
      </c>
      <c r="E12">
        <f t="shared" si="0"/>
        <v>11</v>
      </c>
      <c r="F12">
        <f t="shared" si="1"/>
        <v>73</v>
      </c>
      <c r="G12">
        <f t="shared" si="2"/>
        <v>27</v>
      </c>
      <c r="H12">
        <f t="shared" si="3"/>
        <v>0</v>
      </c>
    </row>
    <row r="13" spans="1:8" x14ac:dyDescent="0.2">
      <c r="A13" s="11" t="s">
        <v>2105</v>
      </c>
      <c r="B13">
        <f>COUNTIFS(Crowdfunding!$G:$G,"successful", Crowdfunding!$D:$D, "&gt;=50000")</f>
        <v>114</v>
      </c>
      <c r="C13">
        <f>COUNTIFS(Crowdfunding!$G:$G,"failed", Crowdfunding!$D:$D, "&gt;=50000")</f>
        <v>163</v>
      </c>
      <c r="D13">
        <f>COUNTIFS(Crowdfunding!$G:$G,"canceled", Crowdfunding!$D:$D, "&gt;=50000")</f>
        <v>28</v>
      </c>
      <c r="E13">
        <f t="shared" si="0"/>
        <v>305</v>
      </c>
      <c r="F13">
        <f t="shared" si="1"/>
        <v>37</v>
      </c>
      <c r="G13">
        <f t="shared" si="2"/>
        <v>53</v>
      </c>
      <c r="H13">
        <f t="shared" si="3"/>
        <v>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1008"/>
  <sheetViews>
    <sheetView workbookViewId="0">
      <selection activeCell="G1" sqref="G1:H1048576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3.5" bestFit="1" customWidth="1"/>
    <col min="8" max="8" width="13" bestFit="1" customWidth="1"/>
    <col min="9" max="9" width="15.5" bestFit="1" customWidth="1"/>
    <col min="12" max="13" width="11.1640625" bestFit="1" customWidth="1"/>
    <col min="14" max="15" width="21.83203125" style="8" bestFit="1" customWidth="1"/>
    <col min="18" max="18" width="28" bestFit="1" customWidth="1"/>
    <col min="19" max="19" width="14.33203125" bestFit="1" customWidth="1"/>
    <col min="20" max="20" width="12.1640625" bestFit="1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>
        <f>ROUND(E2/D2*100,0)</f>
        <v>0</v>
      </c>
      <c r="G2" t="s">
        <v>14</v>
      </c>
      <c r="H2">
        <v>0</v>
      </c>
      <c r="I2" s="4" t="e">
        <f>AVERAGE(E2/H2)</f>
        <v>#DIV/0!</v>
      </c>
      <c r="J2" t="s">
        <v>15</v>
      </c>
      <c r="K2" t="s">
        <v>16</v>
      </c>
      <c r="L2">
        <v>1448690400</v>
      </c>
      <c r="M2">
        <v>1450159200</v>
      </c>
      <c r="N2" s="9">
        <f>(((L2/60)/60)/24)+DATE(1970,1,1)</f>
        <v>42336.25</v>
      </c>
      <c r="O2" s="9">
        <f>(((M2/60)/60)/24)+DATE(1970,1,1)</f>
        <v>42353.25</v>
      </c>
      <c r="P2" t="b">
        <v>0</v>
      </c>
      <c r="Q2" t="b">
        <v>0</v>
      </c>
      <c r="R2" t="s">
        <v>17</v>
      </c>
      <c r="S2" t="s">
        <v>2033</v>
      </c>
      <c r="T2" t="s">
        <v>2034</v>
      </c>
    </row>
    <row r="3" spans="1:20" ht="17" hidden="1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 t="shared" ref="F3:F66" si="0">ROUND(E3/D3*100,0)</f>
        <v>1040</v>
      </c>
      <c r="G3" t="s">
        <v>20</v>
      </c>
      <c r="H3">
        <v>158</v>
      </c>
      <c r="I3" s="4">
        <f t="shared" ref="I3:I66" si="1">AVERAGE(E3/H3)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9">
        <f>(((L3/60)/60)/24)+DATE(1970,1,1)</f>
        <v>41870.208333333336</v>
      </c>
      <c r="O3" s="9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">
        <v>2035</v>
      </c>
      <c r="T3" t="s">
        <v>2036</v>
      </c>
    </row>
    <row r="4" spans="1:20" ht="34" hidden="1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>
        <f t="shared" si="0"/>
        <v>131</v>
      </c>
      <c r="G4" t="s">
        <v>20</v>
      </c>
      <c r="H4">
        <v>1425</v>
      </c>
      <c r="I4" s="4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9">
        <f>(((L4/60)/60)/24)+DATE(1970,1,1)</f>
        <v>41595.25</v>
      </c>
      <c r="O4" s="9">
        <f t="shared" si="2"/>
        <v>41597.25</v>
      </c>
      <c r="P4" t="b">
        <v>0</v>
      </c>
      <c r="Q4" t="b">
        <v>0</v>
      </c>
      <c r="R4" t="s">
        <v>28</v>
      </c>
      <c r="S4" t="s">
        <v>2037</v>
      </c>
      <c r="T4" t="s">
        <v>2038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>
        <f t="shared" si="0"/>
        <v>59</v>
      </c>
      <c r="G5" t="s">
        <v>14</v>
      </c>
      <c r="H5">
        <v>24</v>
      </c>
      <c r="I5" s="4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9">
        <f>(((L5/60)/60)/24)+DATE(1970,1,1)</f>
        <v>43688.208333333328</v>
      </c>
      <c r="O5" s="9">
        <f t="shared" si="2"/>
        <v>43728.208333333328</v>
      </c>
      <c r="P5" t="b">
        <v>0</v>
      </c>
      <c r="Q5" t="b">
        <v>0</v>
      </c>
      <c r="R5" t="s">
        <v>23</v>
      </c>
      <c r="S5" t="s">
        <v>2035</v>
      </c>
      <c r="T5" t="s">
        <v>2036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>
        <f t="shared" si="0"/>
        <v>69</v>
      </c>
      <c r="G6" t="s">
        <v>14</v>
      </c>
      <c r="H6">
        <v>53</v>
      </c>
      <c r="I6" s="4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9">
        <f>(((L6/60)/60)/24)+DATE(1970,1,1)</f>
        <v>43485.25</v>
      </c>
      <c r="O6" s="9">
        <f t="shared" si="2"/>
        <v>43489.25</v>
      </c>
      <c r="P6" t="b">
        <v>0</v>
      </c>
      <c r="Q6" t="b">
        <v>0</v>
      </c>
      <c r="R6" t="s">
        <v>33</v>
      </c>
      <c r="S6" t="s">
        <v>2039</v>
      </c>
      <c r="T6" t="s">
        <v>2040</v>
      </c>
    </row>
    <row r="7" spans="1:20" ht="17" hidden="1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>
        <f t="shared" si="0"/>
        <v>174</v>
      </c>
      <c r="G7" t="s">
        <v>20</v>
      </c>
      <c r="H7">
        <v>174</v>
      </c>
      <c r="I7" s="4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9">
        <f>(((L7/60)/60)/24)+DATE(1970,1,1)</f>
        <v>41149.208333333336</v>
      </c>
      <c r="O7" s="9">
        <f t="shared" si="2"/>
        <v>41160.208333333336</v>
      </c>
      <c r="P7" t="b">
        <v>0</v>
      </c>
      <c r="Q7" t="b">
        <v>0</v>
      </c>
      <c r="R7" t="s">
        <v>33</v>
      </c>
      <c r="S7" t="s">
        <v>2039</v>
      </c>
      <c r="T7" t="s">
        <v>2040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>
        <f t="shared" si="0"/>
        <v>21</v>
      </c>
      <c r="G8" t="s">
        <v>14</v>
      </c>
      <c r="H8">
        <v>18</v>
      </c>
      <c r="I8" s="4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9">
        <f>(((L8/60)/60)/24)+DATE(1970,1,1)</f>
        <v>42991.208333333328</v>
      </c>
      <c r="O8" s="9">
        <f t="shared" si="2"/>
        <v>42992.208333333328</v>
      </c>
      <c r="P8" t="b">
        <v>0</v>
      </c>
      <c r="Q8" t="b">
        <v>0</v>
      </c>
      <c r="R8" t="s">
        <v>42</v>
      </c>
      <c r="S8" t="s">
        <v>2041</v>
      </c>
      <c r="T8" t="s">
        <v>2042</v>
      </c>
    </row>
    <row r="9" spans="1:20" ht="17" hidden="1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>
        <f t="shared" si="0"/>
        <v>328</v>
      </c>
      <c r="G9" t="s">
        <v>20</v>
      </c>
      <c r="H9">
        <v>227</v>
      </c>
      <c r="I9" s="4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9">
        <f>(((L9/60)/60)/24)+DATE(1970,1,1)</f>
        <v>42229.208333333328</v>
      </c>
      <c r="O9" s="9">
        <f t="shared" si="2"/>
        <v>42231.208333333328</v>
      </c>
      <c r="P9" t="b">
        <v>0</v>
      </c>
      <c r="Q9" t="b">
        <v>0</v>
      </c>
      <c r="R9" t="s">
        <v>33</v>
      </c>
      <c r="S9" t="s">
        <v>2039</v>
      </c>
      <c r="T9" t="s">
        <v>2040</v>
      </c>
    </row>
    <row r="10" spans="1:20" ht="17" hidden="1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>
        <f t="shared" si="0"/>
        <v>20</v>
      </c>
      <c r="G10" t="s">
        <v>47</v>
      </c>
      <c r="H10">
        <v>708</v>
      </c>
      <c r="I10" s="4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9">
        <f>(((L10/60)/60)/24)+DATE(1970,1,1)</f>
        <v>40399.208333333336</v>
      </c>
      <c r="O10" s="9">
        <f t="shared" si="2"/>
        <v>40401.208333333336</v>
      </c>
      <c r="P10" t="b">
        <v>0</v>
      </c>
      <c r="Q10" t="b">
        <v>0</v>
      </c>
      <c r="R10" t="s">
        <v>33</v>
      </c>
      <c r="S10" t="s">
        <v>2039</v>
      </c>
      <c r="T10" t="s">
        <v>2040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>
        <f t="shared" si="0"/>
        <v>52</v>
      </c>
      <c r="G11" t="s">
        <v>14</v>
      </c>
      <c r="H11">
        <v>44</v>
      </c>
      <c r="I11" s="4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9">
        <f>(((L11/60)/60)/24)+DATE(1970,1,1)</f>
        <v>41536.208333333336</v>
      </c>
      <c r="O11" s="9">
        <f t="shared" si="2"/>
        <v>41585.25</v>
      </c>
      <c r="P11" t="b">
        <v>0</v>
      </c>
      <c r="Q11" t="b">
        <v>0</v>
      </c>
      <c r="R11" t="s">
        <v>50</v>
      </c>
      <c r="S11" t="s">
        <v>2035</v>
      </c>
      <c r="T11" t="s">
        <v>2043</v>
      </c>
    </row>
    <row r="12" spans="1:20" ht="17" hidden="1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>
        <f t="shared" si="0"/>
        <v>266</v>
      </c>
      <c r="G12" t="s">
        <v>20</v>
      </c>
      <c r="H12">
        <v>220</v>
      </c>
      <c r="I12" s="4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9">
        <f>(((L12/60)/60)/24)+DATE(1970,1,1)</f>
        <v>40404.208333333336</v>
      </c>
      <c r="O12" s="9">
        <f t="shared" si="2"/>
        <v>40452.208333333336</v>
      </c>
      <c r="P12" t="b">
        <v>0</v>
      </c>
      <c r="Q12" t="b">
        <v>0</v>
      </c>
      <c r="R12" t="s">
        <v>53</v>
      </c>
      <c r="S12" t="s">
        <v>2041</v>
      </c>
      <c r="T12" t="s">
        <v>2044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>
        <f t="shared" si="0"/>
        <v>48</v>
      </c>
      <c r="G13" t="s">
        <v>14</v>
      </c>
      <c r="H13">
        <v>27</v>
      </c>
      <c r="I13" s="4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9">
        <f>(((L13/60)/60)/24)+DATE(1970,1,1)</f>
        <v>40442.208333333336</v>
      </c>
      <c r="O13" s="9">
        <f t="shared" si="2"/>
        <v>40448.208333333336</v>
      </c>
      <c r="P13" t="b">
        <v>0</v>
      </c>
      <c r="Q13" t="b">
        <v>1</v>
      </c>
      <c r="R13" t="s">
        <v>33</v>
      </c>
      <c r="S13" t="s">
        <v>2039</v>
      </c>
      <c r="T13" t="s">
        <v>2040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>
        <f t="shared" si="0"/>
        <v>89</v>
      </c>
      <c r="G14" t="s">
        <v>14</v>
      </c>
      <c r="H14">
        <v>55</v>
      </c>
      <c r="I14" s="4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9">
        <f>(((L14/60)/60)/24)+DATE(1970,1,1)</f>
        <v>43760.208333333328</v>
      </c>
      <c r="O14" s="9">
        <f t="shared" si="2"/>
        <v>43768.208333333328</v>
      </c>
      <c r="P14" t="b">
        <v>0</v>
      </c>
      <c r="Q14" t="b">
        <v>0</v>
      </c>
      <c r="R14" t="s">
        <v>53</v>
      </c>
      <c r="S14" t="s">
        <v>2041</v>
      </c>
      <c r="T14" t="s">
        <v>2044</v>
      </c>
    </row>
    <row r="15" spans="1:20" ht="34" hidden="1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>
        <f t="shared" si="0"/>
        <v>245</v>
      </c>
      <c r="G15" t="s">
        <v>20</v>
      </c>
      <c r="H15">
        <v>98</v>
      </c>
      <c r="I15" s="4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9">
        <f>(((L15/60)/60)/24)+DATE(1970,1,1)</f>
        <v>42532.208333333328</v>
      </c>
      <c r="O15" s="9">
        <f t="shared" si="2"/>
        <v>42544.208333333328</v>
      </c>
      <c r="P15" t="b">
        <v>0</v>
      </c>
      <c r="Q15" t="b">
        <v>0</v>
      </c>
      <c r="R15" t="s">
        <v>60</v>
      </c>
      <c r="S15" t="s">
        <v>2035</v>
      </c>
      <c r="T15" t="s">
        <v>2045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>
        <f t="shared" si="0"/>
        <v>67</v>
      </c>
      <c r="G16" t="s">
        <v>14</v>
      </c>
      <c r="H16">
        <v>200</v>
      </c>
      <c r="I16" s="4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9">
        <f>(((L16/60)/60)/24)+DATE(1970,1,1)</f>
        <v>40974.25</v>
      </c>
      <c r="O16" s="9">
        <f t="shared" si="2"/>
        <v>41001.208333333336</v>
      </c>
      <c r="P16" t="b">
        <v>0</v>
      </c>
      <c r="Q16" t="b">
        <v>0</v>
      </c>
      <c r="R16" t="s">
        <v>60</v>
      </c>
      <c r="S16" t="s">
        <v>2035</v>
      </c>
      <c r="T16" t="s">
        <v>2045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>
        <f t="shared" si="0"/>
        <v>47</v>
      </c>
      <c r="G17" t="s">
        <v>14</v>
      </c>
      <c r="H17">
        <v>452</v>
      </c>
      <c r="I17" s="4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9">
        <f>(((L17/60)/60)/24)+DATE(1970,1,1)</f>
        <v>43809.25</v>
      </c>
      <c r="O17" s="9">
        <f t="shared" si="2"/>
        <v>43813.25</v>
      </c>
      <c r="P17" t="b">
        <v>0</v>
      </c>
      <c r="Q17" t="b">
        <v>0</v>
      </c>
      <c r="R17" t="s">
        <v>65</v>
      </c>
      <c r="S17" t="s">
        <v>2037</v>
      </c>
      <c r="T17" t="s">
        <v>2046</v>
      </c>
    </row>
    <row r="18" spans="1:20" ht="17" hidden="1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>
        <f t="shared" si="0"/>
        <v>649</v>
      </c>
      <c r="G18" t="s">
        <v>20</v>
      </c>
      <c r="H18">
        <v>100</v>
      </c>
      <c r="I18" s="4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9">
        <f>(((L18/60)/60)/24)+DATE(1970,1,1)</f>
        <v>41661.25</v>
      </c>
      <c r="O18" s="9">
        <f t="shared" si="2"/>
        <v>41683.25</v>
      </c>
      <c r="P18" t="b">
        <v>0</v>
      </c>
      <c r="Q18" t="b">
        <v>0</v>
      </c>
      <c r="R18" t="s">
        <v>68</v>
      </c>
      <c r="S18" t="s">
        <v>2047</v>
      </c>
      <c r="T18" t="s">
        <v>2048</v>
      </c>
    </row>
    <row r="19" spans="1:20" ht="17" hidden="1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>
        <f t="shared" si="0"/>
        <v>159</v>
      </c>
      <c r="G19" t="s">
        <v>20</v>
      </c>
      <c r="H19">
        <v>1249</v>
      </c>
      <c r="I19" s="4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9">
        <f>(((L19/60)/60)/24)+DATE(1970,1,1)</f>
        <v>40555.25</v>
      </c>
      <c r="O19" s="9">
        <f t="shared" si="2"/>
        <v>40556.25</v>
      </c>
      <c r="P19" t="b">
        <v>0</v>
      </c>
      <c r="Q19" t="b">
        <v>0</v>
      </c>
      <c r="R19" t="s">
        <v>71</v>
      </c>
      <c r="S19" t="s">
        <v>2041</v>
      </c>
      <c r="T19" t="s">
        <v>2049</v>
      </c>
    </row>
    <row r="20" spans="1:20" ht="17" hidden="1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>
        <f t="shared" si="0"/>
        <v>67</v>
      </c>
      <c r="G20" t="s">
        <v>74</v>
      </c>
      <c r="H20">
        <v>135</v>
      </c>
      <c r="I20" s="4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9">
        <f>(((L20/60)/60)/24)+DATE(1970,1,1)</f>
        <v>43351.208333333328</v>
      </c>
      <c r="O20" s="9">
        <f t="shared" si="2"/>
        <v>43359.208333333328</v>
      </c>
      <c r="P20" t="b">
        <v>0</v>
      </c>
      <c r="Q20" t="b">
        <v>0</v>
      </c>
      <c r="R20" t="s">
        <v>33</v>
      </c>
      <c r="S20" t="s">
        <v>2039</v>
      </c>
      <c r="T20" t="s">
        <v>2040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>
        <f t="shared" si="0"/>
        <v>49</v>
      </c>
      <c r="G21" t="s">
        <v>14</v>
      </c>
      <c r="H21">
        <v>674</v>
      </c>
      <c r="I21" s="4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9">
        <f>(((L21/60)/60)/24)+DATE(1970,1,1)</f>
        <v>43528.25</v>
      </c>
      <c r="O21" s="9">
        <f t="shared" si="2"/>
        <v>43549.208333333328</v>
      </c>
      <c r="P21" t="b">
        <v>0</v>
      </c>
      <c r="Q21" t="b">
        <v>1</v>
      </c>
      <c r="R21" t="s">
        <v>33</v>
      </c>
      <c r="S21" t="s">
        <v>2039</v>
      </c>
      <c r="T21" t="s">
        <v>2040</v>
      </c>
    </row>
    <row r="22" spans="1:20" ht="17" hidden="1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>
        <f t="shared" si="0"/>
        <v>112</v>
      </c>
      <c r="G22" t="s">
        <v>20</v>
      </c>
      <c r="H22">
        <v>1396</v>
      </c>
      <c r="I22" s="4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9">
        <f>(((L22/60)/60)/24)+DATE(1970,1,1)</f>
        <v>41848.208333333336</v>
      </c>
      <c r="O22" s="9">
        <f t="shared" si="2"/>
        <v>41848.208333333336</v>
      </c>
      <c r="P22" t="b">
        <v>0</v>
      </c>
      <c r="Q22" t="b">
        <v>0</v>
      </c>
      <c r="R22" t="s">
        <v>53</v>
      </c>
      <c r="S22" t="s">
        <v>2041</v>
      </c>
      <c r="T22" t="s">
        <v>2044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>
        <f t="shared" si="0"/>
        <v>41</v>
      </c>
      <c r="G23" t="s">
        <v>14</v>
      </c>
      <c r="H23">
        <v>558</v>
      </c>
      <c r="I23" s="4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9">
        <f>(((L23/60)/60)/24)+DATE(1970,1,1)</f>
        <v>40770.208333333336</v>
      </c>
      <c r="O23" s="9">
        <f t="shared" si="2"/>
        <v>40804.208333333336</v>
      </c>
      <c r="P23" t="b">
        <v>0</v>
      </c>
      <c r="Q23" t="b">
        <v>0</v>
      </c>
      <c r="R23" t="s">
        <v>33</v>
      </c>
      <c r="S23" t="s">
        <v>2039</v>
      </c>
      <c r="T23" t="s">
        <v>2040</v>
      </c>
    </row>
    <row r="24" spans="1:20" ht="17" hidden="1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>
        <f t="shared" si="0"/>
        <v>128</v>
      </c>
      <c r="G24" t="s">
        <v>20</v>
      </c>
      <c r="H24">
        <v>890</v>
      </c>
      <c r="I24" s="4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9">
        <f>(((L24/60)/60)/24)+DATE(1970,1,1)</f>
        <v>43193.208333333328</v>
      </c>
      <c r="O24" s="9">
        <f t="shared" si="2"/>
        <v>43208.208333333328</v>
      </c>
      <c r="P24" t="b">
        <v>0</v>
      </c>
      <c r="Q24" t="b">
        <v>0</v>
      </c>
      <c r="R24" t="s">
        <v>33</v>
      </c>
      <c r="S24" t="s">
        <v>2039</v>
      </c>
      <c r="T24" t="s">
        <v>2040</v>
      </c>
    </row>
    <row r="25" spans="1:20" ht="17" hidden="1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>
        <f t="shared" si="0"/>
        <v>332</v>
      </c>
      <c r="G25" t="s">
        <v>20</v>
      </c>
      <c r="H25">
        <v>142</v>
      </c>
      <c r="I25" s="4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9">
        <f>(((L25/60)/60)/24)+DATE(1970,1,1)</f>
        <v>43510.25</v>
      </c>
      <c r="O25" s="9">
        <f t="shared" si="2"/>
        <v>43563.208333333328</v>
      </c>
      <c r="P25" t="b">
        <v>0</v>
      </c>
      <c r="Q25" t="b">
        <v>0</v>
      </c>
      <c r="R25" t="s">
        <v>42</v>
      </c>
      <c r="S25" t="s">
        <v>2041</v>
      </c>
      <c r="T25" t="s">
        <v>2042</v>
      </c>
    </row>
    <row r="26" spans="1:20" ht="17" hidden="1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>
        <f t="shared" si="0"/>
        <v>113</v>
      </c>
      <c r="G26" t="s">
        <v>20</v>
      </c>
      <c r="H26">
        <v>2673</v>
      </c>
      <c r="I26" s="4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9">
        <f>(((L26/60)/60)/24)+DATE(1970,1,1)</f>
        <v>41811.208333333336</v>
      </c>
      <c r="O26" s="9">
        <f t="shared" si="2"/>
        <v>41813.208333333336</v>
      </c>
      <c r="P26" t="b">
        <v>0</v>
      </c>
      <c r="Q26" t="b">
        <v>0</v>
      </c>
      <c r="R26" t="s">
        <v>65</v>
      </c>
      <c r="S26" t="s">
        <v>2037</v>
      </c>
      <c r="T26" t="s">
        <v>2046</v>
      </c>
    </row>
    <row r="27" spans="1:20" ht="17" hidden="1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>
        <f t="shared" si="0"/>
        <v>216</v>
      </c>
      <c r="G27" t="s">
        <v>20</v>
      </c>
      <c r="H27">
        <v>163</v>
      </c>
      <c r="I27" s="4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9">
        <f>(((L27/60)/60)/24)+DATE(1970,1,1)</f>
        <v>40681.208333333336</v>
      </c>
      <c r="O27" s="9">
        <f t="shared" si="2"/>
        <v>40701.208333333336</v>
      </c>
      <c r="P27" t="b">
        <v>0</v>
      </c>
      <c r="Q27" t="b">
        <v>1</v>
      </c>
      <c r="R27" t="s">
        <v>89</v>
      </c>
      <c r="S27" t="s">
        <v>2050</v>
      </c>
      <c r="T27" t="s">
        <v>2051</v>
      </c>
    </row>
    <row r="28" spans="1:20" ht="17" hidden="1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>
        <f t="shared" si="0"/>
        <v>48</v>
      </c>
      <c r="G28" t="s">
        <v>74</v>
      </c>
      <c r="H28">
        <v>1480</v>
      </c>
      <c r="I28" s="4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9">
        <f>(((L28/60)/60)/24)+DATE(1970,1,1)</f>
        <v>43312.208333333328</v>
      </c>
      <c r="O28" s="9">
        <f t="shared" si="2"/>
        <v>43339.208333333328</v>
      </c>
      <c r="P28" t="b">
        <v>0</v>
      </c>
      <c r="Q28" t="b">
        <v>0</v>
      </c>
      <c r="R28" t="s">
        <v>33</v>
      </c>
      <c r="S28" t="s">
        <v>2039</v>
      </c>
      <c r="T28" t="s">
        <v>2040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>
        <f t="shared" si="0"/>
        <v>80</v>
      </c>
      <c r="G29" t="s">
        <v>14</v>
      </c>
      <c r="H29">
        <v>15</v>
      </c>
      <c r="I29" s="4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9">
        <f>(((L29/60)/60)/24)+DATE(1970,1,1)</f>
        <v>42280.208333333328</v>
      </c>
      <c r="O29" s="9">
        <f t="shared" si="2"/>
        <v>42288.208333333328</v>
      </c>
      <c r="P29" t="b">
        <v>0</v>
      </c>
      <c r="Q29" t="b">
        <v>0</v>
      </c>
      <c r="R29" t="s">
        <v>23</v>
      </c>
      <c r="S29" t="s">
        <v>2035</v>
      </c>
      <c r="T29" t="s">
        <v>2036</v>
      </c>
    </row>
    <row r="30" spans="1:20" ht="17" hidden="1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>
        <f t="shared" si="0"/>
        <v>105</v>
      </c>
      <c r="G30" t="s">
        <v>20</v>
      </c>
      <c r="H30">
        <v>2220</v>
      </c>
      <c r="I30" s="4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9">
        <f>(((L30/60)/60)/24)+DATE(1970,1,1)</f>
        <v>40218.25</v>
      </c>
      <c r="O30" s="9">
        <f t="shared" si="2"/>
        <v>40241.25</v>
      </c>
      <c r="P30" t="b">
        <v>0</v>
      </c>
      <c r="Q30" t="b">
        <v>1</v>
      </c>
      <c r="R30" t="s">
        <v>33</v>
      </c>
      <c r="S30" t="s">
        <v>2039</v>
      </c>
      <c r="T30" t="s">
        <v>2040</v>
      </c>
    </row>
    <row r="31" spans="1:20" ht="17" hidden="1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>
        <f t="shared" si="0"/>
        <v>329</v>
      </c>
      <c r="G31" t="s">
        <v>20</v>
      </c>
      <c r="H31">
        <v>1606</v>
      </c>
      <c r="I31" s="4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9">
        <f>(((L31/60)/60)/24)+DATE(1970,1,1)</f>
        <v>43301.208333333328</v>
      </c>
      <c r="O31" s="9">
        <f t="shared" si="2"/>
        <v>43341.208333333328</v>
      </c>
      <c r="P31" t="b">
        <v>0</v>
      </c>
      <c r="Q31" t="b">
        <v>0</v>
      </c>
      <c r="R31" t="s">
        <v>100</v>
      </c>
      <c r="S31" t="s">
        <v>2041</v>
      </c>
      <c r="T31" t="s">
        <v>2052</v>
      </c>
    </row>
    <row r="32" spans="1:20" ht="17" hidden="1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>
        <f t="shared" si="0"/>
        <v>161</v>
      </c>
      <c r="G32" t="s">
        <v>20</v>
      </c>
      <c r="H32">
        <v>129</v>
      </c>
      <c r="I32" s="4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9">
        <f>(((L32/60)/60)/24)+DATE(1970,1,1)</f>
        <v>43609.208333333328</v>
      </c>
      <c r="O32" s="9">
        <f t="shared" si="2"/>
        <v>43614.208333333328</v>
      </c>
      <c r="P32" t="b">
        <v>0</v>
      </c>
      <c r="Q32" t="b">
        <v>0</v>
      </c>
      <c r="R32" t="s">
        <v>71</v>
      </c>
      <c r="S32" t="s">
        <v>2041</v>
      </c>
      <c r="T32" t="s">
        <v>2049</v>
      </c>
    </row>
    <row r="33" spans="1:20" ht="17" hidden="1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>
        <f t="shared" si="0"/>
        <v>310</v>
      </c>
      <c r="G33" t="s">
        <v>20</v>
      </c>
      <c r="H33">
        <v>226</v>
      </c>
      <c r="I33" s="4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9">
        <f>(((L33/60)/60)/24)+DATE(1970,1,1)</f>
        <v>42374.25</v>
      </c>
      <c r="O33" s="9">
        <f t="shared" si="2"/>
        <v>42402.25</v>
      </c>
      <c r="P33" t="b">
        <v>0</v>
      </c>
      <c r="Q33" t="b">
        <v>0</v>
      </c>
      <c r="R33" t="s">
        <v>89</v>
      </c>
      <c r="S33" t="s">
        <v>2050</v>
      </c>
      <c r="T33" t="s">
        <v>2051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>
        <f t="shared" si="0"/>
        <v>87</v>
      </c>
      <c r="G34" t="s">
        <v>14</v>
      </c>
      <c r="H34">
        <v>2307</v>
      </c>
      <c r="I34" s="4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9">
        <f>(((L34/60)/60)/24)+DATE(1970,1,1)</f>
        <v>43110.25</v>
      </c>
      <c r="O34" s="9">
        <f t="shared" si="2"/>
        <v>43137.25</v>
      </c>
      <c r="P34" t="b">
        <v>0</v>
      </c>
      <c r="Q34" t="b">
        <v>0</v>
      </c>
      <c r="R34" t="s">
        <v>42</v>
      </c>
      <c r="S34" t="s">
        <v>2041</v>
      </c>
      <c r="T34" t="s">
        <v>2042</v>
      </c>
    </row>
    <row r="35" spans="1:20" ht="17" hidden="1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>
        <f t="shared" si="0"/>
        <v>378</v>
      </c>
      <c r="G35" t="s">
        <v>20</v>
      </c>
      <c r="H35">
        <v>5419</v>
      </c>
      <c r="I35" s="4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9">
        <f>(((L35/60)/60)/24)+DATE(1970,1,1)</f>
        <v>41917.208333333336</v>
      </c>
      <c r="O35" s="9">
        <f t="shared" si="2"/>
        <v>41954.25</v>
      </c>
      <c r="P35" t="b">
        <v>0</v>
      </c>
      <c r="Q35" t="b">
        <v>0</v>
      </c>
      <c r="R35" t="s">
        <v>33</v>
      </c>
      <c r="S35" t="s">
        <v>2039</v>
      </c>
      <c r="T35" t="s">
        <v>2040</v>
      </c>
    </row>
    <row r="36" spans="1:20" ht="34" hidden="1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>
        <f t="shared" si="0"/>
        <v>151</v>
      </c>
      <c r="G36" t="s">
        <v>20</v>
      </c>
      <c r="H36">
        <v>165</v>
      </c>
      <c r="I36" s="4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9">
        <f>(((L36/60)/60)/24)+DATE(1970,1,1)</f>
        <v>42817.208333333328</v>
      </c>
      <c r="O36" s="9">
        <f t="shared" si="2"/>
        <v>42822.208333333328</v>
      </c>
      <c r="P36" t="b">
        <v>0</v>
      </c>
      <c r="Q36" t="b">
        <v>0</v>
      </c>
      <c r="R36" t="s">
        <v>42</v>
      </c>
      <c r="S36" t="s">
        <v>2041</v>
      </c>
      <c r="T36" t="s">
        <v>2042</v>
      </c>
    </row>
    <row r="37" spans="1:20" ht="17" hidden="1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>
        <f t="shared" si="0"/>
        <v>150</v>
      </c>
      <c r="G37" t="s">
        <v>20</v>
      </c>
      <c r="H37">
        <v>1965</v>
      </c>
      <c r="I37" s="4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9">
        <f>(((L37/60)/60)/24)+DATE(1970,1,1)</f>
        <v>43484.25</v>
      </c>
      <c r="O37" s="9">
        <f t="shared" si="2"/>
        <v>43526.25</v>
      </c>
      <c r="P37" t="b">
        <v>0</v>
      </c>
      <c r="Q37" t="b">
        <v>1</v>
      </c>
      <c r="R37" t="s">
        <v>53</v>
      </c>
      <c r="S37" t="s">
        <v>2041</v>
      </c>
      <c r="T37" t="s">
        <v>2044</v>
      </c>
    </row>
    <row r="38" spans="1:20" ht="17" hidden="1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>
        <f t="shared" si="0"/>
        <v>157</v>
      </c>
      <c r="G38" t="s">
        <v>20</v>
      </c>
      <c r="H38">
        <v>16</v>
      </c>
      <c r="I38" s="4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9">
        <f>(((L38/60)/60)/24)+DATE(1970,1,1)</f>
        <v>40600.25</v>
      </c>
      <c r="O38" s="9">
        <f t="shared" si="2"/>
        <v>40625.208333333336</v>
      </c>
      <c r="P38" t="b">
        <v>0</v>
      </c>
      <c r="Q38" t="b">
        <v>0</v>
      </c>
      <c r="R38" t="s">
        <v>33</v>
      </c>
      <c r="S38" t="s">
        <v>2039</v>
      </c>
      <c r="T38" t="s">
        <v>2040</v>
      </c>
    </row>
    <row r="39" spans="1:20" ht="34" hidden="1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>
        <f t="shared" si="0"/>
        <v>140</v>
      </c>
      <c r="G39" t="s">
        <v>20</v>
      </c>
      <c r="H39">
        <v>107</v>
      </c>
      <c r="I39" s="4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9">
        <f>(((L39/60)/60)/24)+DATE(1970,1,1)</f>
        <v>43744.208333333328</v>
      </c>
      <c r="O39" s="9">
        <f t="shared" si="2"/>
        <v>43777.25</v>
      </c>
      <c r="P39" t="b">
        <v>0</v>
      </c>
      <c r="Q39" t="b">
        <v>1</v>
      </c>
      <c r="R39" t="s">
        <v>119</v>
      </c>
      <c r="S39" t="s">
        <v>2047</v>
      </c>
      <c r="T39" t="s">
        <v>2053</v>
      </c>
    </row>
    <row r="40" spans="1:20" ht="17" hidden="1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>
        <f t="shared" si="0"/>
        <v>325</v>
      </c>
      <c r="G40" t="s">
        <v>20</v>
      </c>
      <c r="H40">
        <v>134</v>
      </c>
      <c r="I40" s="4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9">
        <f>(((L40/60)/60)/24)+DATE(1970,1,1)</f>
        <v>40469.208333333336</v>
      </c>
      <c r="O40" s="9">
        <f t="shared" si="2"/>
        <v>40474.208333333336</v>
      </c>
      <c r="P40" t="b">
        <v>0</v>
      </c>
      <c r="Q40" t="b">
        <v>0</v>
      </c>
      <c r="R40" t="s">
        <v>122</v>
      </c>
      <c r="S40" t="s">
        <v>2054</v>
      </c>
      <c r="T40" t="s">
        <v>2055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>
        <f t="shared" si="0"/>
        <v>51</v>
      </c>
      <c r="G41" t="s">
        <v>14</v>
      </c>
      <c r="H41">
        <v>88</v>
      </c>
      <c r="I41" s="4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9">
        <f>(((L41/60)/60)/24)+DATE(1970,1,1)</f>
        <v>41330.25</v>
      </c>
      <c r="O41" s="9">
        <f t="shared" si="2"/>
        <v>41344.208333333336</v>
      </c>
      <c r="P41" t="b">
        <v>0</v>
      </c>
      <c r="Q41" t="b">
        <v>0</v>
      </c>
      <c r="R41" t="s">
        <v>33</v>
      </c>
      <c r="S41" t="s">
        <v>2039</v>
      </c>
      <c r="T41" t="s">
        <v>2040</v>
      </c>
    </row>
    <row r="42" spans="1:20" ht="17" hidden="1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>
        <f t="shared" si="0"/>
        <v>169</v>
      </c>
      <c r="G42" t="s">
        <v>20</v>
      </c>
      <c r="H42">
        <v>198</v>
      </c>
      <c r="I42" s="4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9">
        <f>(((L42/60)/60)/24)+DATE(1970,1,1)</f>
        <v>40334.208333333336</v>
      </c>
      <c r="O42" s="9">
        <f t="shared" si="2"/>
        <v>40353.208333333336</v>
      </c>
      <c r="P42" t="b">
        <v>0</v>
      </c>
      <c r="Q42" t="b">
        <v>1</v>
      </c>
      <c r="R42" t="s">
        <v>65</v>
      </c>
      <c r="S42" t="s">
        <v>2037</v>
      </c>
      <c r="T42" t="s">
        <v>2046</v>
      </c>
    </row>
    <row r="43" spans="1:20" ht="17" hidden="1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>
        <f t="shared" si="0"/>
        <v>213</v>
      </c>
      <c r="G43" t="s">
        <v>20</v>
      </c>
      <c r="H43">
        <v>111</v>
      </c>
      <c r="I43" s="4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9">
        <f>(((L43/60)/60)/24)+DATE(1970,1,1)</f>
        <v>41156.208333333336</v>
      </c>
      <c r="O43" s="9">
        <f t="shared" si="2"/>
        <v>41182.208333333336</v>
      </c>
      <c r="P43" t="b">
        <v>0</v>
      </c>
      <c r="Q43" t="b">
        <v>1</v>
      </c>
      <c r="R43" t="s">
        <v>23</v>
      </c>
      <c r="S43" t="s">
        <v>2035</v>
      </c>
      <c r="T43" t="s">
        <v>2036</v>
      </c>
    </row>
    <row r="44" spans="1:20" ht="17" hidden="1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>
        <f t="shared" si="0"/>
        <v>444</v>
      </c>
      <c r="G44" t="s">
        <v>20</v>
      </c>
      <c r="H44">
        <v>222</v>
      </c>
      <c r="I44" s="4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9">
        <f>(((L44/60)/60)/24)+DATE(1970,1,1)</f>
        <v>40728.208333333336</v>
      </c>
      <c r="O44" s="9">
        <f t="shared" si="2"/>
        <v>40737.208333333336</v>
      </c>
      <c r="P44" t="b">
        <v>0</v>
      </c>
      <c r="Q44" t="b">
        <v>0</v>
      </c>
      <c r="R44" t="s">
        <v>17</v>
      </c>
      <c r="S44" t="s">
        <v>2033</v>
      </c>
      <c r="T44" t="s">
        <v>2034</v>
      </c>
    </row>
    <row r="45" spans="1:20" ht="17" hidden="1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>
        <f t="shared" si="0"/>
        <v>186</v>
      </c>
      <c r="G45" t="s">
        <v>20</v>
      </c>
      <c r="H45">
        <v>6212</v>
      </c>
      <c r="I45" s="4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9">
        <f>(((L45/60)/60)/24)+DATE(1970,1,1)</f>
        <v>41844.208333333336</v>
      </c>
      <c r="O45" s="9">
        <f t="shared" si="2"/>
        <v>41860.208333333336</v>
      </c>
      <c r="P45" t="b">
        <v>0</v>
      </c>
      <c r="Q45" t="b">
        <v>0</v>
      </c>
      <c r="R45" t="s">
        <v>133</v>
      </c>
      <c r="S45" t="s">
        <v>2047</v>
      </c>
      <c r="T45" t="s">
        <v>2056</v>
      </c>
    </row>
    <row r="46" spans="1:20" ht="17" hidden="1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>
        <f t="shared" si="0"/>
        <v>659</v>
      </c>
      <c r="G46" t="s">
        <v>20</v>
      </c>
      <c r="H46">
        <v>98</v>
      </c>
      <c r="I46" s="4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9">
        <f>(((L46/60)/60)/24)+DATE(1970,1,1)</f>
        <v>43541.208333333328</v>
      </c>
      <c r="O46" s="9">
        <f t="shared" si="2"/>
        <v>43542.208333333328</v>
      </c>
      <c r="P46" t="b">
        <v>0</v>
      </c>
      <c r="Q46" t="b">
        <v>0</v>
      </c>
      <c r="R46" t="s">
        <v>119</v>
      </c>
      <c r="S46" t="s">
        <v>2047</v>
      </c>
      <c r="T46" t="s">
        <v>2053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>
        <f t="shared" si="0"/>
        <v>48</v>
      </c>
      <c r="G47" t="s">
        <v>14</v>
      </c>
      <c r="H47">
        <v>48</v>
      </c>
      <c r="I47" s="4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9">
        <f>(((L47/60)/60)/24)+DATE(1970,1,1)</f>
        <v>42676.208333333328</v>
      </c>
      <c r="O47" s="9">
        <f t="shared" si="2"/>
        <v>42691.25</v>
      </c>
      <c r="P47" t="b">
        <v>0</v>
      </c>
      <c r="Q47" t="b">
        <v>1</v>
      </c>
      <c r="R47" t="s">
        <v>33</v>
      </c>
      <c r="S47" t="s">
        <v>2039</v>
      </c>
      <c r="T47" t="s">
        <v>2040</v>
      </c>
    </row>
    <row r="48" spans="1:20" ht="17" hidden="1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>
        <f t="shared" si="0"/>
        <v>115</v>
      </c>
      <c r="G48" t="s">
        <v>20</v>
      </c>
      <c r="H48">
        <v>92</v>
      </c>
      <c r="I48" s="4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9">
        <f>(((L48/60)/60)/24)+DATE(1970,1,1)</f>
        <v>40367.208333333336</v>
      </c>
      <c r="O48" s="9">
        <f t="shared" si="2"/>
        <v>40390.208333333336</v>
      </c>
      <c r="P48" t="b">
        <v>0</v>
      </c>
      <c r="Q48" t="b">
        <v>0</v>
      </c>
      <c r="R48" t="s">
        <v>23</v>
      </c>
      <c r="S48" t="s">
        <v>2035</v>
      </c>
      <c r="T48" t="s">
        <v>2036</v>
      </c>
    </row>
    <row r="49" spans="1:20" ht="17" hidden="1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>
        <f t="shared" si="0"/>
        <v>475</v>
      </c>
      <c r="G49" t="s">
        <v>20</v>
      </c>
      <c r="H49">
        <v>149</v>
      </c>
      <c r="I49" s="4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9">
        <f>(((L49/60)/60)/24)+DATE(1970,1,1)</f>
        <v>41727.208333333336</v>
      </c>
      <c r="O49" s="9">
        <f t="shared" si="2"/>
        <v>41757.208333333336</v>
      </c>
      <c r="P49" t="b">
        <v>0</v>
      </c>
      <c r="Q49" t="b">
        <v>0</v>
      </c>
      <c r="R49" t="s">
        <v>33</v>
      </c>
      <c r="S49" t="s">
        <v>2039</v>
      </c>
      <c r="T49" t="s">
        <v>2040</v>
      </c>
    </row>
    <row r="50" spans="1:20" ht="17" hidden="1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>
        <f t="shared" si="0"/>
        <v>387</v>
      </c>
      <c r="G50" t="s">
        <v>20</v>
      </c>
      <c r="H50">
        <v>2431</v>
      </c>
      <c r="I50" s="4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9">
        <f>(((L50/60)/60)/24)+DATE(1970,1,1)</f>
        <v>42180.208333333328</v>
      </c>
      <c r="O50" s="9">
        <f t="shared" si="2"/>
        <v>42192.208333333328</v>
      </c>
      <c r="P50" t="b">
        <v>0</v>
      </c>
      <c r="Q50" t="b">
        <v>0</v>
      </c>
      <c r="R50" t="s">
        <v>33</v>
      </c>
      <c r="S50" t="s">
        <v>2039</v>
      </c>
      <c r="T50" t="s">
        <v>2040</v>
      </c>
    </row>
    <row r="51" spans="1:20" ht="17" hidden="1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>
        <f t="shared" si="0"/>
        <v>190</v>
      </c>
      <c r="G51" t="s">
        <v>20</v>
      </c>
      <c r="H51">
        <v>303</v>
      </c>
      <c r="I51" s="4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9">
        <f>(((L51/60)/60)/24)+DATE(1970,1,1)</f>
        <v>43758.208333333328</v>
      </c>
      <c r="O51" s="9">
        <f t="shared" si="2"/>
        <v>43803.25</v>
      </c>
      <c r="P51" t="b">
        <v>0</v>
      </c>
      <c r="Q51" t="b">
        <v>0</v>
      </c>
      <c r="R51" t="s">
        <v>23</v>
      </c>
      <c r="S51" t="s">
        <v>2035</v>
      </c>
      <c r="T51" t="s">
        <v>2036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>
        <f t="shared" si="0"/>
        <v>2</v>
      </c>
      <c r="G52" t="s">
        <v>14</v>
      </c>
      <c r="H52">
        <v>1</v>
      </c>
      <c r="I52" s="4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9">
        <f>(((L52/60)/60)/24)+DATE(1970,1,1)</f>
        <v>41487.208333333336</v>
      </c>
      <c r="O52" s="9">
        <f t="shared" si="2"/>
        <v>41515.208333333336</v>
      </c>
      <c r="P52" t="b">
        <v>0</v>
      </c>
      <c r="Q52" t="b">
        <v>0</v>
      </c>
      <c r="R52" t="s">
        <v>148</v>
      </c>
      <c r="S52" t="s">
        <v>2035</v>
      </c>
      <c r="T52" t="s">
        <v>2057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>
        <f t="shared" si="0"/>
        <v>92</v>
      </c>
      <c r="G53" t="s">
        <v>14</v>
      </c>
      <c r="H53">
        <v>1467</v>
      </c>
      <c r="I53" s="4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9">
        <f>(((L53/60)/60)/24)+DATE(1970,1,1)</f>
        <v>40995.208333333336</v>
      </c>
      <c r="O53" s="9">
        <f t="shared" si="2"/>
        <v>41011.208333333336</v>
      </c>
      <c r="P53" t="b">
        <v>0</v>
      </c>
      <c r="Q53" t="b">
        <v>1</v>
      </c>
      <c r="R53" t="s">
        <v>65</v>
      </c>
      <c r="S53" t="s">
        <v>2037</v>
      </c>
      <c r="T53" t="s">
        <v>2046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>
        <f t="shared" si="0"/>
        <v>34</v>
      </c>
      <c r="G54" t="s">
        <v>14</v>
      </c>
      <c r="H54">
        <v>75</v>
      </c>
      <c r="I54" s="4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9">
        <f>(((L54/60)/60)/24)+DATE(1970,1,1)</f>
        <v>40436.208333333336</v>
      </c>
      <c r="O54" s="9">
        <f t="shared" si="2"/>
        <v>40440.208333333336</v>
      </c>
      <c r="P54" t="b">
        <v>0</v>
      </c>
      <c r="Q54" t="b">
        <v>0</v>
      </c>
      <c r="R54" t="s">
        <v>33</v>
      </c>
      <c r="S54" t="s">
        <v>2039</v>
      </c>
      <c r="T54" t="s">
        <v>2040</v>
      </c>
    </row>
    <row r="55" spans="1:20" ht="17" hidden="1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>
        <f t="shared" si="0"/>
        <v>140</v>
      </c>
      <c r="G55" t="s">
        <v>20</v>
      </c>
      <c r="H55">
        <v>209</v>
      </c>
      <c r="I55" s="4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9">
        <f>(((L55/60)/60)/24)+DATE(1970,1,1)</f>
        <v>41779.208333333336</v>
      </c>
      <c r="O55" s="9">
        <f t="shared" si="2"/>
        <v>41818.208333333336</v>
      </c>
      <c r="P55" t="b">
        <v>0</v>
      </c>
      <c r="Q55" t="b">
        <v>0</v>
      </c>
      <c r="R55" t="s">
        <v>53</v>
      </c>
      <c r="S55" t="s">
        <v>2041</v>
      </c>
      <c r="T55" t="s">
        <v>2044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>
        <f t="shared" si="0"/>
        <v>90</v>
      </c>
      <c r="G56" t="s">
        <v>14</v>
      </c>
      <c r="H56">
        <v>120</v>
      </c>
      <c r="I56" s="4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9">
        <f>(((L56/60)/60)/24)+DATE(1970,1,1)</f>
        <v>43170.25</v>
      </c>
      <c r="O56" s="9">
        <f t="shared" si="2"/>
        <v>43176.208333333328</v>
      </c>
      <c r="P56" t="b">
        <v>0</v>
      </c>
      <c r="Q56" t="b">
        <v>0</v>
      </c>
      <c r="R56" t="s">
        <v>65</v>
      </c>
      <c r="S56" t="s">
        <v>2037</v>
      </c>
      <c r="T56" t="s">
        <v>2046</v>
      </c>
    </row>
    <row r="57" spans="1:20" ht="34" hidden="1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>
        <f t="shared" si="0"/>
        <v>178</v>
      </c>
      <c r="G57" t="s">
        <v>20</v>
      </c>
      <c r="H57">
        <v>131</v>
      </c>
      <c r="I57" s="4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9">
        <f>(((L57/60)/60)/24)+DATE(1970,1,1)</f>
        <v>43311.208333333328</v>
      </c>
      <c r="O57" s="9">
        <f t="shared" si="2"/>
        <v>43316.208333333328</v>
      </c>
      <c r="P57" t="b">
        <v>0</v>
      </c>
      <c r="Q57" t="b">
        <v>0</v>
      </c>
      <c r="R57" t="s">
        <v>159</v>
      </c>
      <c r="S57" t="s">
        <v>2035</v>
      </c>
      <c r="T57" t="s">
        <v>2058</v>
      </c>
    </row>
    <row r="58" spans="1:20" ht="34" hidden="1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>
        <f t="shared" si="0"/>
        <v>144</v>
      </c>
      <c r="G58" t="s">
        <v>20</v>
      </c>
      <c r="H58">
        <v>164</v>
      </c>
      <c r="I58" s="4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9">
        <f>(((L58/60)/60)/24)+DATE(1970,1,1)</f>
        <v>42014.25</v>
      </c>
      <c r="O58" s="9">
        <f t="shared" si="2"/>
        <v>42021.25</v>
      </c>
      <c r="P58" t="b">
        <v>0</v>
      </c>
      <c r="Q58" t="b">
        <v>0</v>
      </c>
      <c r="R58" t="s">
        <v>65</v>
      </c>
      <c r="S58" t="s">
        <v>2037</v>
      </c>
      <c r="T58" t="s">
        <v>2046</v>
      </c>
    </row>
    <row r="59" spans="1:20" ht="17" hidden="1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>
        <f t="shared" si="0"/>
        <v>215</v>
      </c>
      <c r="G59" t="s">
        <v>20</v>
      </c>
      <c r="H59">
        <v>201</v>
      </c>
      <c r="I59" s="4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9">
        <f>(((L59/60)/60)/24)+DATE(1970,1,1)</f>
        <v>42979.208333333328</v>
      </c>
      <c r="O59" s="9">
        <f t="shared" si="2"/>
        <v>42991.208333333328</v>
      </c>
      <c r="P59" t="b">
        <v>0</v>
      </c>
      <c r="Q59" t="b">
        <v>0</v>
      </c>
      <c r="R59" t="s">
        <v>89</v>
      </c>
      <c r="S59" t="s">
        <v>2050</v>
      </c>
      <c r="T59" t="s">
        <v>2051</v>
      </c>
    </row>
    <row r="60" spans="1:20" ht="17" hidden="1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>
        <f t="shared" si="0"/>
        <v>227</v>
      </c>
      <c r="G60" t="s">
        <v>20</v>
      </c>
      <c r="H60">
        <v>211</v>
      </c>
      <c r="I60" s="4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9">
        <f>(((L60/60)/60)/24)+DATE(1970,1,1)</f>
        <v>42268.208333333328</v>
      </c>
      <c r="O60" s="9">
        <f t="shared" si="2"/>
        <v>42281.208333333328</v>
      </c>
      <c r="P60" t="b">
        <v>0</v>
      </c>
      <c r="Q60" t="b">
        <v>0</v>
      </c>
      <c r="R60" t="s">
        <v>33</v>
      </c>
      <c r="S60" t="s">
        <v>2039</v>
      </c>
      <c r="T60" t="s">
        <v>2040</v>
      </c>
    </row>
    <row r="61" spans="1:20" ht="17" hidden="1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>
        <f t="shared" si="0"/>
        <v>275</v>
      </c>
      <c r="G61" t="s">
        <v>20</v>
      </c>
      <c r="H61">
        <v>128</v>
      </c>
      <c r="I61" s="4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9">
        <f>(((L61/60)/60)/24)+DATE(1970,1,1)</f>
        <v>42898.208333333328</v>
      </c>
      <c r="O61" s="9">
        <f t="shared" si="2"/>
        <v>42913.208333333328</v>
      </c>
      <c r="P61" t="b">
        <v>0</v>
      </c>
      <c r="Q61" t="b">
        <v>1</v>
      </c>
      <c r="R61" t="s">
        <v>33</v>
      </c>
      <c r="S61" t="s">
        <v>2039</v>
      </c>
      <c r="T61" t="s">
        <v>2040</v>
      </c>
    </row>
    <row r="62" spans="1:20" ht="17" hidden="1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>
        <f t="shared" si="0"/>
        <v>144</v>
      </c>
      <c r="G62" t="s">
        <v>20</v>
      </c>
      <c r="H62">
        <v>1600</v>
      </c>
      <c r="I62" s="4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9">
        <f>(((L62/60)/60)/24)+DATE(1970,1,1)</f>
        <v>41107.208333333336</v>
      </c>
      <c r="O62" s="9">
        <f t="shared" si="2"/>
        <v>41110.208333333336</v>
      </c>
      <c r="P62" t="b">
        <v>0</v>
      </c>
      <c r="Q62" t="b">
        <v>0</v>
      </c>
      <c r="R62" t="s">
        <v>33</v>
      </c>
      <c r="S62" t="s">
        <v>2039</v>
      </c>
      <c r="T62" t="s">
        <v>2040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>
        <f t="shared" si="0"/>
        <v>93</v>
      </c>
      <c r="G63" t="s">
        <v>14</v>
      </c>
      <c r="H63">
        <v>2253</v>
      </c>
      <c r="I63" s="4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9">
        <f>(((L63/60)/60)/24)+DATE(1970,1,1)</f>
        <v>40595.25</v>
      </c>
      <c r="O63" s="9">
        <f t="shared" si="2"/>
        <v>40635.208333333336</v>
      </c>
      <c r="P63" t="b">
        <v>0</v>
      </c>
      <c r="Q63" t="b">
        <v>0</v>
      </c>
      <c r="R63" t="s">
        <v>33</v>
      </c>
      <c r="S63" t="s">
        <v>2039</v>
      </c>
      <c r="T63" t="s">
        <v>2040</v>
      </c>
    </row>
    <row r="64" spans="1:20" ht="34" hidden="1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>
        <f t="shared" si="0"/>
        <v>723</v>
      </c>
      <c r="G64" t="s">
        <v>20</v>
      </c>
      <c r="H64">
        <v>249</v>
      </c>
      <c r="I64" s="4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9">
        <f>(((L64/60)/60)/24)+DATE(1970,1,1)</f>
        <v>42160.208333333328</v>
      </c>
      <c r="O64" s="9">
        <f t="shared" si="2"/>
        <v>42161.208333333328</v>
      </c>
      <c r="P64" t="b">
        <v>0</v>
      </c>
      <c r="Q64" t="b">
        <v>0</v>
      </c>
      <c r="R64" t="s">
        <v>28</v>
      </c>
      <c r="S64" t="s">
        <v>2037</v>
      </c>
      <c r="T64" t="s">
        <v>2038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>
        <f t="shared" si="0"/>
        <v>12</v>
      </c>
      <c r="G65" t="s">
        <v>14</v>
      </c>
      <c r="H65">
        <v>5</v>
      </c>
      <c r="I65" s="4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9">
        <f>(((L65/60)/60)/24)+DATE(1970,1,1)</f>
        <v>42853.208333333328</v>
      </c>
      <c r="O65" s="9">
        <f t="shared" si="2"/>
        <v>42859.208333333328</v>
      </c>
      <c r="P65" t="b">
        <v>0</v>
      </c>
      <c r="Q65" t="b">
        <v>0</v>
      </c>
      <c r="R65" t="s">
        <v>33</v>
      </c>
      <c r="S65" t="s">
        <v>2039</v>
      </c>
      <c r="T65" t="s">
        <v>2040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>
        <f t="shared" si="0"/>
        <v>98</v>
      </c>
      <c r="G66" t="s">
        <v>14</v>
      </c>
      <c r="H66">
        <v>38</v>
      </c>
      <c r="I66" s="4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9">
        <f>(((L66/60)/60)/24)+DATE(1970,1,1)</f>
        <v>43283.208333333328</v>
      </c>
      <c r="O66" s="9">
        <f t="shared" si="2"/>
        <v>43298.208333333328</v>
      </c>
      <c r="P66" t="b">
        <v>0</v>
      </c>
      <c r="Q66" t="b">
        <v>1</v>
      </c>
      <c r="R66" t="s">
        <v>28</v>
      </c>
      <c r="S66" t="s">
        <v>2037</v>
      </c>
      <c r="T66" t="s">
        <v>2038</v>
      </c>
    </row>
    <row r="67" spans="1:20" ht="17" hidden="1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>
        <f t="shared" ref="F67:F130" si="3">ROUND(E67/D67*100,0)</f>
        <v>236</v>
      </c>
      <c r="G67" t="s">
        <v>20</v>
      </c>
      <c r="H67">
        <v>236</v>
      </c>
      <c r="I67" s="4">
        <f t="shared" ref="I67:I130" si="4">AVERAGE(E67/H67)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9">
        <f>(((L67/60)/60)/24)+DATE(1970,1,1)</f>
        <v>40570.25</v>
      </c>
      <c r="O67" s="9">
        <f t="shared" ref="O67:O130" si="5">(((M67/60)/60)/24)+DATE(1970,1,1)</f>
        <v>40577.25</v>
      </c>
      <c r="P67" t="b">
        <v>0</v>
      </c>
      <c r="Q67" t="b">
        <v>0</v>
      </c>
      <c r="R67" t="s">
        <v>33</v>
      </c>
      <c r="S67" t="s">
        <v>2039</v>
      </c>
      <c r="T67" t="s">
        <v>2040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>
        <f t="shared" si="3"/>
        <v>45</v>
      </c>
      <c r="G68" t="s">
        <v>14</v>
      </c>
      <c r="H68">
        <v>12</v>
      </c>
      <c r="I68" s="4">
        <f t="shared" si="4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9">
        <f>(((L68/60)/60)/24)+DATE(1970,1,1)</f>
        <v>42102.208333333328</v>
      </c>
      <c r="O68" s="9">
        <f t="shared" si="5"/>
        <v>42107.208333333328</v>
      </c>
      <c r="P68" t="b">
        <v>0</v>
      </c>
      <c r="Q68" t="b">
        <v>1</v>
      </c>
      <c r="R68" t="s">
        <v>33</v>
      </c>
      <c r="S68" t="s">
        <v>2039</v>
      </c>
      <c r="T68" t="s">
        <v>2040</v>
      </c>
    </row>
    <row r="69" spans="1:20" ht="34" hidden="1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>
        <f t="shared" si="3"/>
        <v>162</v>
      </c>
      <c r="G69" t="s">
        <v>20</v>
      </c>
      <c r="H69">
        <v>4065</v>
      </c>
      <c r="I69" s="4">
        <f t="shared" si="4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9">
        <f>(((L69/60)/60)/24)+DATE(1970,1,1)</f>
        <v>40203.25</v>
      </c>
      <c r="O69" s="9">
        <f t="shared" si="5"/>
        <v>40208.25</v>
      </c>
      <c r="P69" t="b">
        <v>0</v>
      </c>
      <c r="Q69" t="b">
        <v>1</v>
      </c>
      <c r="R69" t="s">
        <v>65</v>
      </c>
      <c r="S69" t="s">
        <v>2037</v>
      </c>
      <c r="T69" t="s">
        <v>2046</v>
      </c>
    </row>
    <row r="70" spans="1:20" ht="17" hidden="1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>
        <f t="shared" si="3"/>
        <v>255</v>
      </c>
      <c r="G70" t="s">
        <v>20</v>
      </c>
      <c r="H70">
        <v>246</v>
      </c>
      <c r="I70" s="4">
        <f t="shared" si="4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9">
        <f>(((L70/60)/60)/24)+DATE(1970,1,1)</f>
        <v>42943.208333333328</v>
      </c>
      <c r="O70" s="9">
        <f t="shared" si="5"/>
        <v>42990.208333333328</v>
      </c>
      <c r="P70" t="b">
        <v>0</v>
      </c>
      <c r="Q70" t="b">
        <v>1</v>
      </c>
      <c r="R70" t="s">
        <v>33</v>
      </c>
      <c r="S70" t="s">
        <v>2039</v>
      </c>
      <c r="T70" t="s">
        <v>2040</v>
      </c>
    </row>
    <row r="71" spans="1:20" ht="17" hidden="1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>
        <f t="shared" si="3"/>
        <v>24</v>
      </c>
      <c r="G71" t="s">
        <v>74</v>
      </c>
      <c r="H71">
        <v>17</v>
      </c>
      <c r="I71" s="4">
        <f t="shared" si="4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9">
        <f>(((L71/60)/60)/24)+DATE(1970,1,1)</f>
        <v>40531.25</v>
      </c>
      <c r="O71" s="9">
        <f t="shared" si="5"/>
        <v>40565.25</v>
      </c>
      <c r="P71" t="b">
        <v>0</v>
      </c>
      <c r="Q71" t="b">
        <v>0</v>
      </c>
      <c r="R71" t="s">
        <v>33</v>
      </c>
      <c r="S71" t="s">
        <v>2039</v>
      </c>
      <c r="T71" t="s">
        <v>2040</v>
      </c>
    </row>
    <row r="72" spans="1:20" ht="17" hidden="1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>
        <f t="shared" si="3"/>
        <v>124</v>
      </c>
      <c r="G72" t="s">
        <v>20</v>
      </c>
      <c r="H72">
        <v>2475</v>
      </c>
      <c r="I72" s="4">
        <f t="shared" si="4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9">
        <f>(((L72/60)/60)/24)+DATE(1970,1,1)</f>
        <v>40484.208333333336</v>
      </c>
      <c r="O72" s="9">
        <f t="shared" si="5"/>
        <v>40533.25</v>
      </c>
      <c r="P72" t="b">
        <v>0</v>
      </c>
      <c r="Q72" t="b">
        <v>1</v>
      </c>
      <c r="R72" t="s">
        <v>33</v>
      </c>
      <c r="S72" t="s">
        <v>2039</v>
      </c>
      <c r="T72" t="s">
        <v>2040</v>
      </c>
    </row>
    <row r="73" spans="1:20" ht="34" hidden="1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>
        <f t="shared" si="3"/>
        <v>108</v>
      </c>
      <c r="G73" t="s">
        <v>20</v>
      </c>
      <c r="H73">
        <v>76</v>
      </c>
      <c r="I73" s="4">
        <f t="shared" si="4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9">
        <f>(((L73/60)/60)/24)+DATE(1970,1,1)</f>
        <v>43799.25</v>
      </c>
      <c r="O73" s="9">
        <f t="shared" si="5"/>
        <v>43803.25</v>
      </c>
      <c r="P73" t="b">
        <v>0</v>
      </c>
      <c r="Q73" t="b">
        <v>0</v>
      </c>
      <c r="R73" t="s">
        <v>33</v>
      </c>
      <c r="S73" t="s">
        <v>2039</v>
      </c>
      <c r="T73" t="s">
        <v>2040</v>
      </c>
    </row>
    <row r="74" spans="1:20" ht="17" hidden="1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>
        <f t="shared" si="3"/>
        <v>670</v>
      </c>
      <c r="G74" t="s">
        <v>20</v>
      </c>
      <c r="H74">
        <v>54</v>
      </c>
      <c r="I74" s="4">
        <f t="shared" si="4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9">
        <f>(((L74/60)/60)/24)+DATE(1970,1,1)</f>
        <v>42186.208333333328</v>
      </c>
      <c r="O74" s="9">
        <f t="shared" si="5"/>
        <v>42222.208333333328</v>
      </c>
      <c r="P74" t="b">
        <v>0</v>
      </c>
      <c r="Q74" t="b">
        <v>0</v>
      </c>
      <c r="R74" t="s">
        <v>71</v>
      </c>
      <c r="S74" t="s">
        <v>2041</v>
      </c>
      <c r="T74" t="s">
        <v>2049</v>
      </c>
    </row>
    <row r="75" spans="1:20" ht="17" hidden="1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>
        <f t="shared" si="3"/>
        <v>661</v>
      </c>
      <c r="G75" t="s">
        <v>20</v>
      </c>
      <c r="H75">
        <v>88</v>
      </c>
      <c r="I75" s="4">
        <f t="shared" si="4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9">
        <f>(((L75/60)/60)/24)+DATE(1970,1,1)</f>
        <v>42701.25</v>
      </c>
      <c r="O75" s="9">
        <f t="shared" si="5"/>
        <v>42704.25</v>
      </c>
      <c r="P75" t="b">
        <v>0</v>
      </c>
      <c r="Q75" t="b">
        <v>0</v>
      </c>
      <c r="R75" t="s">
        <v>159</v>
      </c>
      <c r="S75" t="s">
        <v>2035</v>
      </c>
      <c r="T75" t="s">
        <v>2058</v>
      </c>
    </row>
    <row r="76" spans="1:20" ht="17" hidden="1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>
        <f t="shared" si="3"/>
        <v>122</v>
      </c>
      <c r="G76" t="s">
        <v>20</v>
      </c>
      <c r="H76">
        <v>85</v>
      </c>
      <c r="I76" s="4">
        <f t="shared" si="4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9">
        <f>(((L76/60)/60)/24)+DATE(1970,1,1)</f>
        <v>42456.208333333328</v>
      </c>
      <c r="O76" s="9">
        <f t="shared" si="5"/>
        <v>42457.208333333328</v>
      </c>
      <c r="P76" t="b">
        <v>0</v>
      </c>
      <c r="Q76" t="b">
        <v>0</v>
      </c>
      <c r="R76" t="s">
        <v>148</v>
      </c>
      <c r="S76" t="s">
        <v>2035</v>
      </c>
      <c r="T76" t="s">
        <v>2057</v>
      </c>
    </row>
    <row r="77" spans="1:20" ht="17" hidden="1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>
        <f t="shared" si="3"/>
        <v>151</v>
      </c>
      <c r="G77" t="s">
        <v>20</v>
      </c>
      <c r="H77">
        <v>170</v>
      </c>
      <c r="I77" s="4">
        <f t="shared" si="4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9">
        <f>(((L77/60)/60)/24)+DATE(1970,1,1)</f>
        <v>43296.208333333328</v>
      </c>
      <c r="O77" s="9">
        <f t="shared" si="5"/>
        <v>43304.208333333328</v>
      </c>
      <c r="P77" t="b">
        <v>0</v>
      </c>
      <c r="Q77" t="b">
        <v>0</v>
      </c>
      <c r="R77" t="s">
        <v>122</v>
      </c>
      <c r="S77" t="s">
        <v>2054</v>
      </c>
      <c r="T77" t="s">
        <v>2055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>
        <f t="shared" si="3"/>
        <v>78</v>
      </c>
      <c r="G78" t="s">
        <v>14</v>
      </c>
      <c r="H78">
        <v>1684</v>
      </c>
      <c r="I78" s="4">
        <f t="shared" si="4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9">
        <f>(((L78/60)/60)/24)+DATE(1970,1,1)</f>
        <v>42027.25</v>
      </c>
      <c r="O78" s="9">
        <f t="shared" si="5"/>
        <v>42076.208333333328</v>
      </c>
      <c r="P78" t="b">
        <v>1</v>
      </c>
      <c r="Q78" t="b">
        <v>1</v>
      </c>
      <c r="R78" t="s">
        <v>33</v>
      </c>
      <c r="S78" t="s">
        <v>2039</v>
      </c>
      <c r="T78" t="s">
        <v>2040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>
        <f t="shared" si="3"/>
        <v>47</v>
      </c>
      <c r="G79" t="s">
        <v>14</v>
      </c>
      <c r="H79">
        <v>56</v>
      </c>
      <c r="I79" s="4">
        <f t="shared" si="4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9">
        <f>(((L79/60)/60)/24)+DATE(1970,1,1)</f>
        <v>40448.208333333336</v>
      </c>
      <c r="O79" s="9">
        <f t="shared" si="5"/>
        <v>40462.208333333336</v>
      </c>
      <c r="P79" t="b">
        <v>0</v>
      </c>
      <c r="Q79" t="b">
        <v>1</v>
      </c>
      <c r="R79" t="s">
        <v>71</v>
      </c>
      <c r="S79" t="s">
        <v>2041</v>
      </c>
      <c r="T79" t="s">
        <v>2049</v>
      </c>
    </row>
    <row r="80" spans="1:20" ht="34" hidden="1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>
        <f t="shared" si="3"/>
        <v>301</v>
      </c>
      <c r="G80" t="s">
        <v>20</v>
      </c>
      <c r="H80">
        <v>330</v>
      </c>
      <c r="I80" s="4">
        <f t="shared" si="4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9">
        <f>(((L80/60)/60)/24)+DATE(1970,1,1)</f>
        <v>43206.208333333328</v>
      </c>
      <c r="O80" s="9">
        <f t="shared" si="5"/>
        <v>43207.208333333328</v>
      </c>
      <c r="P80" t="b">
        <v>0</v>
      </c>
      <c r="Q80" t="b">
        <v>0</v>
      </c>
      <c r="R80" t="s">
        <v>206</v>
      </c>
      <c r="S80" t="s">
        <v>2047</v>
      </c>
      <c r="T80" t="s">
        <v>2059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>
        <f t="shared" si="3"/>
        <v>70</v>
      </c>
      <c r="G81" t="s">
        <v>14</v>
      </c>
      <c r="H81">
        <v>838</v>
      </c>
      <c r="I81" s="4">
        <f t="shared" si="4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9">
        <f>(((L81/60)/60)/24)+DATE(1970,1,1)</f>
        <v>43267.208333333328</v>
      </c>
      <c r="O81" s="9">
        <f t="shared" si="5"/>
        <v>43272.208333333328</v>
      </c>
      <c r="P81" t="b">
        <v>0</v>
      </c>
      <c r="Q81" t="b">
        <v>0</v>
      </c>
      <c r="R81" t="s">
        <v>33</v>
      </c>
      <c r="S81" t="s">
        <v>2039</v>
      </c>
      <c r="T81" t="s">
        <v>2040</v>
      </c>
    </row>
    <row r="82" spans="1:20" ht="17" hidden="1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>
        <f t="shared" si="3"/>
        <v>637</v>
      </c>
      <c r="G82" t="s">
        <v>20</v>
      </c>
      <c r="H82">
        <v>127</v>
      </c>
      <c r="I82" s="4">
        <f t="shared" si="4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9">
        <f>(((L82/60)/60)/24)+DATE(1970,1,1)</f>
        <v>42976.208333333328</v>
      </c>
      <c r="O82" s="9">
        <f t="shared" si="5"/>
        <v>43006.208333333328</v>
      </c>
      <c r="P82" t="b">
        <v>0</v>
      </c>
      <c r="Q82" t="b">
        <v>0</v>
      </c>
      <c r="R82" t="s">
        <v>89</v>
      </c>
      <c r="S82" t="s">
        <v>2050</v>
      </c>
      <c r="T82" t="s">
        <v>2051</v>
      </c>
    </row>
    <row r="83" spans="1:20" ht="17" hidden="1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>
        <f t="shared" si="3"/>
        <v>225</v>
      </c>
      <c r="G83" t="s">
        <v>20</v>
      </c>
      <c r="H83">
        <v>411</v>
      </c>
      <c r="I83" s="4">
        <f t="shared" si="4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9">
        <f>(((L83/60)/60)/24)+DATE(1970,1,1)</f>
        <v>43062.25</v>
      </c>
      <c r="O83" s="9">
        <f t="shared" si="5"/>
        <v>43087.25</v>
      </c>
      <c r="P83" t="b">
        <v>0</v>
      </c>
      <c r="Q83" t="b">
        <v>0</v>
      </c>
      <c r="R83" t="s">
        <v>23</v>
      </c>
      <c r="S83" t="s">
        <v>2035</v>
      </c>
      <c r="T83" t="s">
        <v>2036</v>
      </c>
    </row>
    <row r="84" spans="1:20" ht="17" hidden="1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>
        <f t="shared" si="3"/>
        <v>1497</v>
      </c>
      <c r="G84" t="s">
        <v>20</v>
      </c>
      <c r="H84">
        <v>180</v>
      </c>
      <c r="I84" s="4">
        <f t="shared" si="4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9">
        <f>(((L84/60)/60)/24)+DATE(1970,1,1)</f>
        <v>43482.25</v>
      </c>
      <c r="O84" s="9">
        <f t="shared" si="5"/>
        <v>43489.25</v>
      </c>
      <c r="P84" t="b">
        <v>0</v>
      </c>
      <c r="Q84" t="b">
        <v>1</v>
      </c>
      <c r="R84" t="s">
        <v>89</v>
      </c>
      <c r="S84" t="s">
        <v>2050</v>
      </c>
      <c r="T84" t="s">
        <v>2051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>
        <f t="shared" si="3"/>
        <v>38</v>
      </c>
      <c r="G85" t="s">
        <v>14</v>
      </c>
      <c r="H85">
        <v>1000</v>
      </c>
      <c r="I85" s="4">
        <f t="shared" si="4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9">
        <f>(((L85/60)/60)/24)+DATE(1970,1,1)</f>
        <v>42579.208333333328</v>
      </c>
      <c r="O85" s="9">
        <f t="shared" si="5"/>
        <v>42601.208333333328</v>
      </c>
      <c r="P85" t="b">
        <v>0</v>
      </c>
      <c r="Q85" t="b">
        <v>0</v>
      </c>
      <c r="R85" t="s">
        <v>50</v>
      </c>
      <c r="S85" t="s">
        <v>2035</v>
      </c>
      <c r="T85" t="s">
        <v>2043</v>
      </c>
    </row>
    <row r="86" spans="1:20" ht="17" hidden="1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>
        <f t="shared" si="3"/>
        <v>132</v>
      </c>
      <c r="G86" t="s">
        <v>20</v>
      </c>
      <c r="H86">
        <v>374</v>
      </c>
      <c r="I86" s="4">
        <f t="shared" si="4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9">
        <f>(((L86/60)/60)/24)+DATE(1970,1,1)</f>
        <v>41118.208333333336</v>
      </c>
      <c r="O86" s="9">
        <f t="shared" si="5"/>
        <v>41128.208333333336</v>
      </c>
      <c r="P86" t="b">
        <v>0</v>
      </c>
      <c r="Q86" t="b">
        <v>0</v>
      </c>
      <c r="R86" t="s">
        <v>65</v>
      </c>
      <c r="S86" t="s">
        <v>2037</v>
      </c>
      <c r="T86" t="s">
        <v>2046</v>
      </c>
    </row>
    <row r="87" spans="1:20" ht="17" hidden="1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>
        <f t="shared" si="3"/>
        <v>131</v>
      </c>
      <c r="G87" t="s">
        <v>20</v>
      </c>
      <c r="H87">
        <v>71</v>
      </c>
      <c r="I87" s="4">
        <f t="shared" si="4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9">
        <f>(((L87/60)/60)/24)+DATE(1970,1,1)</f>
        <v>40797.208333333336</v>
      </c>
      <c r="O87" s="9">
        <f t="shared" si="5"/>
        <v>40805.208333333336</v>
      </c>
      <c r="P87" t="b">
        <v>0</v>
      </c>
      <c r="Q87" t="b">
        <v>0</v>
      </c>
      <c r="R87" t="s">
        <v>60</v>
      </c>
      <c r="S87" t="s">
        <v>2035</v>
      </c>
      <c r="T87" t="s">
        <v>2045</v>
      </c>
    </row>
    <row r="88" spans="1:20" ht="17" hidden="1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>
        <f t="shared" si="3"/>
        <v>168</v>
      </c>
      <c r="G88" t="s">
        <v>20</v>
      </c>
      <c r="H88">
        <v>203</v>
      </c>
      <c r="I88" s="4">
        <f t="shared" si="4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9">
        <f>(((L88/60)/60)/24)+DATE(1970,1,1)</f>
        <v>42128.208333333328</v>
      </c>
      <c r="O88" s="9">
        <f t="shared" si="5"/>
        <v>42141.208333333328</v>
      </c>
      <c r="P88" t="b">
        <v>1</v>
      </c>
      <c r="Q88" t="b">
        <v>0</v>
      </c>
      <c r="R88" t="s">
        <v>33</v>
      </c>
      <c r="S88" t="s">
        <v>2039</v>
      </c>
      <c r="T88" t="s">
        <v>2040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>
        <f t="shared" si="3"/>
        <v>62</v>
      </c>
      <c r="G89" t="s">
        <v>14</v>
      </c>
      <c r="H89">
        <v>1482</v>
      </c>
      <c r="I89" s="4">
        <f t="shared" si="4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9">
        <f>(((L89/60)/60)/24)+DATE(1970,1,1)</f>
        <v>40610.25</v>
      </c>
      <c r="O89" s="9">
        <f t="shared" si="5"/>
        <v>40621.208333333336</v>
      </c>
      <c r="P89" t="b">
        <v>0</v>
      </c>
      <c r="Q89" t="b">
        <v>1</v>
      </c>
      <c r="R89" t="s">
        <v>23</v>
      </c>
      <c r="S89" t="s">
        <v>2035</v>
      </c>
      <c r="T89" t="s">
        <v>2036</v>
      </c>
    </row>
    <row r="90" spans="1:20" ht="17" hidden="1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>
        <f t="shared" si="3"/>
        <v>261</v>
      </c>
      <c r="G90" t="s">
        <v>20</v>
      </c>
      <c r="H90">
        <v>113</v>
      </c>
      <c r="I90" s="4">
        <f t="shared" si="4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9">
        <f>(((L90/60)/60)/24)+DATE(1970,1,1)</f>
        <v>42110.208333333328</v>
      </c>
      <c r="O90" s="9">
        <f t="shared" si="5"/>
        <v>42132.208333333328</v>
      </c>
      <c r="P90" t="b">
        <v>0</v>
      </c>
      <c r="Q90" t="b">
        <v>0</v>
      </c>
      <c r="R90" t="s">
        <v>206</v>
      </c>
      <c r="S90" t="s">
        <v>2047</v>
      </c>
      <c r="T90" t="s">
        <v>2059</v>
      </c>
    </row>
    <row r="91" spans="1:20" ht="17" hidden="1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>
        <f t="shared" si="3"/>
        <v>253</v>
      </c>
      <c r="G91" t="s">
        <v>20</v>
      </c>
      <c r="H91">
        <v>96</v>
      </c>
      <c r="I91" s="4">
        <f t="shared" si="4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9">
        <f>(((L91/60)/60)/24)+DATE(1970,1,1)</f>
        <v>40283.208333333336</v>
      </c>
      <c r="O91" s="9">
        <f t="shared" si="5"/>
        <v>40285.208333333336</v>
      </c>
      <c r="P91" t="b">
        <v>0</v>
      </c>
      <c r="Q91" t="b">
        <v>0</v>
      </c>
      <c r="R91" t="s">
        <v>33</v>
      </c>
      <c r="S91" t="s">
        <v>2039</v>
      </c>
      <c r="T91" t="s">
        <v>2040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>
        <f t="shared" si="3"/>
        <v>79</v>
      </c>
      <c r="G92" t="s">
        <v>14</v>
      </c>
      <c r="H92">
        <v>106</v>
      </c>
      <c r="I92" s="4">
        <f t="shared" si="4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9">
        <f>(((L92/60)/60)/24)+DATE(1970,1,1)</f>
        <v>42425.25</v>
      </c>
      <c r="O92" s="9">
        <f t="shared" si="5"/>
        <v>42425.25</v>
      </c>
      <c r="P92" t="b">
        <v>0</v>
      </c>
      <c r="Q92" t="b">
        <v>1</v>
      </c>
      <c r="R92" t="s">
        <v>33</v>
      </c>
      <c r="S92" t="s">
        <v>2039</v>
      </c>
      <c r="T92" t="s">
        <v>2040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>
        <f t="shared" si="3"/>
        <v>48</v>
      </c>
      <c r="G93" t="s">
        <v>14</v>
      </c>
      <c r="H93">
        <v>679</v>
      </c>
      <c r="I93" s="4">
        <f t="shared" si="4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9">
        <f>(((L93/60)/60)/24)+DATE(1970,1,1)</f>
        <v>42588.208333333328</v>
      </c>
      <c r="O93" s="9">
        <f t="shared" si="5"/>
        <v>42616.208333333328</v>
      </c>
      <c r="P93" t="b">
        <v>0</v>
      </c>
      <c r="Q93" t="b">
        <v>0</v>
      </c>
      <c r="R93" t="s">
        <v>206</v>
      </c>
      <c r="S93" t="s">
        <v>2047</v>
      </c>
      <c r="T93" t="s">
        <v>2059</v>
      </c>
    </row>
    <row r="94" spans="1:20" ht="34" hidden="1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>
        <f t="shared" si="3"/>
        <v>259</v>
      </c>
      <c r="G94" t="s">
        <v>20</v>
      </c>
      <c r="H94">
        <v>498</v>
      </c>
      <c r="I94" s="4">
        <f t="shared" si="4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9">
        <f>(((L94/60)/60)/24)+DATE(1970,1,1)</f>
        <v>40352.208333333336</v>
      </c>
      <c r="O94" s="9">
        <f t="shared" si="5"/>
        <v>40353.208333333336</v>
      </c>
      <c r="P94" t="b">
        <v>0</v>
      </c>
      <c r="Q94" t="b">
        <v>1</v>
      </c>
      <c r="R94" t="s">
        <v>89</v>
      </c>
      <c r="S94" t="s">
        <v>2050</v>
      </c>
      <c r="T94" t="s">
        <v>2051</v>
      </c>
    </row>
    <row r="95" spans="1:20" ht="17" hidden="1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>
        <f t="shared" si="3"/>
        <v>61</v>
      </c>
      <c r="G95" t="s">
        <v>74</v>
      </c>
      <c r="H95">
        <v>610</v>
      </c>
      <c r="I95" s="4">
        <f t="shared" si="4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9">
        <f>(((L95/60)/60)/24)+DATE(1970,1,1)</f>
        <v>41202.208333333336</v>
      </c>
      <c r="O95" s="9">
        <f t="shared" si="5"/>
        <v>41206.208333333336</v>
      </c>
      <c r="P95" t="b">
        <v>0</v>
      </c>
      <c r="Q95" t="b">
        <v>1</v>
      </c>
      <c r="R95" t="s">
        <v>33</v>
      </c>
      <c r="S95" t="s">
        <v>2039</v>
      </c>
      <c r="T95" t="s">
        <v>2040</v>
      </c>
    </row>
    <row r="96" spans="1:20" ht="17" hidden="1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>
        <f t="shared" si="3"/>
        <v>304</v>
      </c>
      <c r="G96" t="s">
        <v>20</v>
      </c>
      <c r="H96">
        <v>180</v>
      </c>
      <c r="I96" s="4">
        <f t="shared" si="4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9">
        <f>(((L96/60)/60)/24)+DATE(1970,1,1)</f>
        <v>43562.208333333328</v>
      </c>
      <c r="O96" s="9">
        <f t="shared" si="5"/>
        <v>43573.208333333328</v>
      </c>
      <c r="P96" t="b">
        <v>0</v>
      </c>
      <c r="Q96" t="b">
        <v>0</v>
      </c>
      <c r="R96" t="s">
        <v>28</v>
      </c>
      <c r="S96" t="s">
        <v>2037</v>
      </c>
      <c r="T96" t="s">
        <v>2038</v>
      </c>
    </row>
    <row r="97" spans="1:20" ht="34" hidden="1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>
        <f t="shared" si="3"/>
        <v>113</v>
      </c>
      <c r="G97" t="s">
        <v>20</v>
      </c>
      <c r="H97">
        <v>27</v>
      </c>
      <c r="I97" s="4">
        <f t="shared" si="4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9">
        <f>(((L97/60)/60)/24)+DATE(1970,1,1)</f>
        <v>43752.208333333328</v>
      </c>
      <c r="O97" s="9">
        <f t="shared" si="5"/>
        <v>43759.208333333328</v>
      </c>
      <c r="P97" t="b">
        <v>0</v>
      </c>
      <c r="Q97" t="b">
        <v>0</v>
      </c>
      <c r="R97" t="s">
        <v>42</v>
      </c>
      <c r="S97" t="s">
        <v>2041</v>
      </c>
      <c r="T97" t="s">
        <v>2042</v>
      </c>
    </row>
    <row r="98" spans="1:20" ht="17" hidden="1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>
        <f t="shared" si="3"/>
        <v>217</v>
      </c>
      <c r="G98" t="s">
        <v>20</v>
      </c>
      <c r="H98">
        <v>2331</v>
      </c>
      <c r="I98" s="4">
        <f t="shared" si="4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9">
        <f>(((L98/60)/60)/24)+DATE(1970,1,1)</f>
        <v>40612.25</v>
      </c>
      <c r="O98" s="9">
        <f t="shared" si="5"/>
        <v>40625.208333333336</v>
      </c>
      <c r="P98" t="b">
        <v>0</v>
      </c>
      <c r="Q98" t="b">
        <v>0</v>
      </c>
      <c r="R98" t="s">
        <v>33</v>
      </c>
      <c r="S98" t="s">
        <v>2039</v>
      </c>
      <c r="T98" t="s">
        <v>2040</v>
      </c>
    </row>
    <row r="99" spans="1:20" ht="17" hidden="1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>
        <f t="shared" si="3"/>
        <v>927</v>
      </c>
      <c r="G99" t="s">
        <v>20</v>
      </c>
      <c r="H99">
        <v>113</v>
      </c>
      <c r="I99" s="4">
        <f t="shared" si="4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9">
        <f>(((L99/60)/60)/24)+DATE(1970,1,1)</f>
        <v>42180.208333333328</v>
      </c>
      <c r="O99" s="9">
        <f t="shared" si="5"/>
        <v>42234.208333333328</v>
      </c>
      <c r="P99" t="b">
        <v>0</v>
      </c>
      <c r="Q99" t="b">
        <v>0</v>
      </c>
      <c r="R99" t="s">
        <v>17</v>
      </c>
      <c r="S99" t="s">
        <v>2033</v>
      </c>
      <c r="T99" t="s">
        <v>2034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>
        <f t="shared" si="3"/>
        <v>34</v>
      </c>
      <c r="G100" t="s">
        <v>14</v>
      </c>
      <c r="H100">
        <v>1220</v>
      </c>
      <c r="I100" s="4">
        <f t="shared" si="4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9">
        <f>(((L100/60)/60)/24)+DATE(1970,1,1)</f>
        <v>42212.208333333328</v>
      </c>
      <c r="O100" s="9">
        <f t="shared" si="5"/>
        <v>42216.208333333328</v>
      </c>
      <c r="P100" t="b">
        <v>0</v>
      </c>
      <c r="Q100" t="b">
        <v>0</v>
      </c>
      <c r="R100" t="s">
        <v>89</v>
      </c>
      <c r="S100" t="s">
        <v>2050</v>
      </c>
      <c r="T100" t="s">
        <v>2051</v>
      </c>
    </row>
    <row r="101" spans="1:20" ht="34" hidden="1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>
        <f t="shared" si="3"/>
        <v>197</v>
      </c>
      <c r="G101" t="s">
        <v>20</v>
      </c>
      <c r="H101">
        <v>164</v>
      </c>
      <c r="I101" s="4">
        <f t="shared" si="4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9">
        <f>(((L101/60)/60)/24)+DATE(1970,1,1)</f>
        <v>41968.25</v>
      </c>
      <c r="O101" s="9">
        <f t="shared" si="5"/>
        <v>41997.25</v>
      </c>
      <c r="P101" t="b">
        <v>0</v>
      </c>
      <c r="Q101" t="b">
        <v>0</v>
      </c>
      <c r="R101" t="s">
        <v>33</v>
      </c>
      <c r="S101" t="s">
        <v>2039</v>
      </c>
      <c r="T101" t="s">
        <v>2040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>
        <f t="shared" si="3"/>
        <v>1</v>
      </c>
      <c r="G102" t="s">
        <v>14</v>
      </c>
      <c r="H102">
        <v>1</v>
      </c>
      <c r="I102" s="4">
        <f t="shared" si="4"/>
        <v>1</v>
      </c>
      <c r="J102" t="s">
        <v>21</v>
      </c>
      <c r="K102" t="s">
        <v>22</v>
      </c>
      <c r="L102">
        <v>1319000400</v>
      </c>
      <c r="M102">
        <v>1320555600</v>
      </c>
      <c r="N102" s="9">
        <f>(((L102/60)/60)/24)+DATE(1970,1,1)</f>
        <v>40835.208333333336</v>
      </c>
      <c r="O102" s="9">
        <f t="shared" si="5"/>
        <v>40853.208333333336</v>
      </c>
      <c r="P102" t="b">
        <v>0</v>
      </c>
      <c r="Q102" t="b">
        <v>0</v>
      </c>
      <c r="R102" t="s">
        <v>33</v>
      </c>
      <c r="S102" t="s">
        <v>2039</v>
      </c>
      <c r="T102" t="s">
        <v>2040</v>
      </c>
    </row>
    <row r="103" spans="1:20" ht="17" hidden="1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>
        <f t="shared" si="3"/>
        <v>1021</v>
      </c>
      <c r="G103" t="s">
        <v>20</v>
      </c>
      <c r="H103">
        <v>164</v>
      </c>
      <c r="I103" s="4">
        <f t="shared" si="4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9">
        <f>(((L103/60)/60)/24)+DATE(1970,1,1)</f>
        <v>42056.25</v>
      </c>
      <c r="O103" s="9">
        <f t="shared" si="5"/>
        <v>42063.25</v>
      </c>
      <c r="P103" t="b">
        <v>0</v>
      </c>
      <c r="Q103" t="b">
        <v>1</v>
      </c>
      <c r="R103" t="s">
        <v>50</v>
      </c>
      <c r="S103" t="s">
        <v>2035</v>
      </c>
      <c r="T103" t="s">
        <v>2043</v>
      </c>
    </row>
    <row r="104" spans="1:20" ht="17" hidden="1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>
        <f t="shared" si="3"/>
        <v>282</v>
      </c>
      <c r="G104" t="s">
        <v>20</v>
      </c>
      <c r="H104">
        <v>336</v>
      </c>
      <c r="I104" s="4">
        <f t="shared" si="4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9">
        <f>(((L104/60)/60)/24)+DATE(1970,1,1)</f>
        <v>43234.208333333328</v>
      </c>
      <c r="O104" s="9">
        <f t="shared" si="5"/>
        <v>43241.208333333328</v>
      </c>
      <c r="P104" t="b">
        <v>0</v>
      </c>
      <c r="Q104" t="b">
        <v>1</v>
      </c>
      <c r="R104" t="s">
        <v>65</v>
      </c>
      <c r="S104" t="s">
        <v>2037</v>
      </c>
      <c r="T104" t="s">
        <v>2046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>
        <f t="shared" si="3"/>
        <v>25</v>
      </c>
      <c r="G105" t="s">
        <v>14</v>
      </c>
      <c r="H105">
        <v>37</v>
      </c>
      <c r="I105" s="4">
        <f t="shared" si="4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9">
        <f>(((L105/60)/60)/24)+DATE(1970,1,1)</f>
        <v>40475.208333333336</v>
      </c>
      <c r="O105" s="9">
        <f t="shared" si="5"/>
        <v>40484.208333333336</v>
      </c>
      <c r="P105" t="b">
        <v>0</v>
      </c>
      <c r="Q105" t="b">
        <v>0</v>
      </c>
      <c r="R105" t="s">
        <v>50</v>
      </c>
      <c r="S105" t="s">
        <v>2035</v>
      </c>
      <c r="T105" t="s">
        <v>2043</v>
      </c>
    </row>
    <row r="106" spans="1:20" ht="17" hidden="1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>
        <f t="shared" si="3"/>
        <v>143</v>
      </c>
      <c r="G106" t="s">
        <v>20</v>
      </c>
      <c r="H106">
        <v>1917</v>
      </c>
      <c r="I106" s="4">
        <f t="shared" si="4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9">
        <f>(((L106/60)/60)/24)+DATE(1970,1,1)</f>
        <v>42878.208333333328</v>
      </c>
      <c r="O106" s="9">
        <f t="shared" si="5"/>
        <v>42879.208333333328</v>
      </c>
      <c r="P106" t="b">
        <v>0</v>
      </c>
      <c r="Q106" t="b">
        <v>0</v>
      </c>
      <c r="R106" t="s">
        <v>60</v>
      </c>
      <c r="S106" t="s">
        <v>2035</v>
      </c>
      <c r="T106" t="s">
        <v>2045</v>
      </c>
    </row>
    <row r="107" spans="1:20" ht="17" hidden="1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>
        <f t="shared" si="3"/>
        <v>145</v>
      </c>
      <c r="G107" t="s">
        <v>20</v>
      </c>
      <c r="H107">
        <v>95</v>
      </c>
      <c r="I107" s="4">
        <f t="shared" si="4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9">
        <f>(((L107/60)/60)/24)+DATE(1970,1,1)</f>
        <v>41366.208333333336</v>
      </c>
      <c r="O107" s="9">
        <f t="shared" si="5"/>
        <v>41384.208333333336</v>
      </c>
      <c r="P107" t="b">
        <v>0</v>
      </c>
      <c r="Q107" t="b">
        <v>0</v>
      </c>
      <c r="R107" t="s">
        <v>28</v>
      </c>
      <c r="S107" t="s">
        <v>2037</v>
      </c>
      <c r="T107" t="s">
        <v>2038</v>
      </c>
    </row>
    <row r="108" spans="1:20" ht="17" hidden="1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>
        <f t="shared" si="3"/>
        <v>359</v>
      </c>
      <c r="G108" t="s">
        <v>20</v>
      </c>
      <c r="H108">
        <v>147</v>
      </c>
      <c r="I108" s="4">
        <f t="shared" si="4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9">
        <f>(((L108/60)/60)/24)+DATE(1970,1,1)</f>
        <v>43716.208333333328</v>
      </c>
      <c r="O108" s="9">
        <f t="shared" si="5"/>
        <v>43721.208333333328</v>
      </c>
      <c r="P108" t="b">
        <v>0</v>
      </c>
      <c r="Q108" t="b">
        <v>0</v>
      </c>
      <c r="R108" t="s">
        <v>33</v>
      </c>
      <c r="S108" t="s">
        <v>2039</v>
      </c>
      <c r="T108" t="s">
        <v>2040</v>
      </c>
    </row>
    <row r="109" spans="1:20" ht="34" hidden="1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>
        <f t="shared" si="3"/>
        <v>186</v>
      </c>
      <c r="G109" t="s">
        <v>20</v>
      </c>
      <c r="H109">
        <v>86</v>
      </c>
      <c r="I109" s="4">
        <f t="shared" si="4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9">
        <f>(((L109/60)/60)/24)+DATE(1970,1,1)</f>
        <v>43213.208333333328</v>
      </c>
      <c r="O109" s="9">
        <f t="shared" si="5"/>
        <v>43230.208333333328</v>
      </c>
      <c r="P109" t="b">
        <v>0</v>
      </c>
      <c r="Q109" t="b">
        <v>1</v>
      </c>
      <c r="R109" t="s">
        <v>33</v>
      </c>
      <c r="S109" t="s">
        <v>2039</v>
      </c>
      <c r="T109" t="s">
        <v>2040</v>
      </c>
    </row>
    <row r="110" spans="1:20" ht="34" hidden="1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>
        <f t="shared" si="3"/>
        <v>595</v>
      </c>
      <c r="G110" t="s">
        <v>20</v>
      </c>
      <c r="H110">
        <v>83</v>
      </c>
      <c r="I110" s="4">
        <f t="shared" si="4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9">
        <f>(((L110/60)/60)/24)+DATE(1970,1,1)</f>
        <v>41005.208333333336</v>
      </c>
      <c r="O110" s="9">
        <f t="shared" si="5"/>
        <v>41042.208333333336</v>
      </c>
      <c r="P110" t="b">
        <v>0</v>
      </c>
      <c r="Q110" t="b">
        <v>0</v>
      </c>
      <c r="R110" t="s">
        <v>42</v>
      </c>
      <c r="S110" t="s">
        <v>2041</v>
      </c>
      <c r="T110" t="s">
        <v>2042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>
        <f t="shared" si="3"/>
        <v>59</v>
      </c>
      <c r="G111" t="s">
        <v>14</v>
      </c>
      <c r="H111">
        <v>60</v>
      </c>
      <c r="I111" s="4">
        <f t="shared" si="4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9">
        <f>(((L111/60)/60)/24)+DATE(1970,1,1)</f>
        <v>41651.25</v>
      </c>
      <c r="O111" s="9">
        <f t="shared" si="5"/>
        <v>41653.25</v>
      </c>
      <c r="P111" t="b">
        <v>0</v>
      </c>
      <c r="Q111" t="b">
        <v>0</v>
      </c>
      <c r="R111" t="s">
        <v>269</v>
      </c>
      <c r="S111" t="s">
        <v>2041</v>
      </c>
      <c r="T111" t="s">
        <v>2060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>
        <f t="shared" si="3"/>
        <v>15</v>
      </c>
      <c r="G112" t="s">
        <v>14</v>
      </c>
      <c r="H112">
        <v>296</v>
      </c>
      <c r="I112" s="4">
        <f t="shared" si="4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9">
        <f>(((L112/60)/60)/24)+DATE(1970,1,1)</f>
        <v>43354.208333333328</v>
      </c>
      <c r="O112" s="9">
        <f t="shared" si="5"/>
        <v>43373.208333333328</v>
      </c>
      <c r="P112" t="b">
        <v>0</v>
      </c>
      <c r="Q112" t="b">
        <v>0</v>
      </c>
      <c r="R112" t="s">
        <v>17</v>
      </c>
      <c r="S112" t="s">
        <v>2033</v>
      </c>
      <c r="T112" t="s">
        <v>2034</v>
      </c>
    </row>
    <row r="113" spans="1:20" ht="17" hidden="1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>
        <f t="shared" si="3"/>
        <v>120</v>
      </c>
      <c r="G113" t="s">
        <v>20</v>
      </c>
      <c r="H113">
        <v>676</v>
      </c>
      <c r="I113" s="4">
        <f t="shared" si="4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9">
        <f>(((L113/60)/60)/24)+DATE(1970,1,1)</f>
        <v>41174.208333333336</v>
      </c>
      <c r="O113" s="9">
        <f t="shared" si="5"/>
        <v>41180.208333333336</v>
      </c>
      <c r="P113" t="b">
        <v>0</v>
      </c>
      <c r="Q113" t="b">
        <v>0</v>
      </c>
      <c r="R113" t="s">
        <v>133</v>
      </c>
      <c r="S113" t="s">
        <v>2047</v>
      </c>
      <c r="T113" t="s">
        <v>2056</v>
      </c>
    </row>
    <row r="114" spans="1:20" ht="17" hidden="1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>
        <f t="shared" si="3"/>
        <v>269</v>
      </c>
      <c r="G114" t="s">
        <v>20</v>
      </c>
      <c r="H114">
        <v>361</v>
      </c>
      <c r="I114" s="4">
        <f t="shared" si="4"/>
        <v>35</v>
      </c>
      <c r="J114" t="s">
        <v>26</v>
      </c>
      <c r="K114" t="s">
        <v>27</v>
      </c>
      <c r="L114">
        <v>1408856400</v>
      </c>
      <c r="M114">
        <v>1410152400</v>
      </c>
      <c r="N114" s="9">
        <f>(((L114/60)/60)/24)+DATE(1970,1,1)</f>
        <v>41875.208333333336</v>
      </c>
      <c r="O114" s="9">
        <f t="shared" si="5"/>
        <v>41890.208333333336</v>
      </c>
      <c r="P114" t="b">
        <v>0</v>
      </c>
      <c r="Q114" t="b">
        <v>0</v>
      </c>
      <c r="R114" t="s">
        <v>28</v>
      </c>
      <c r="S114" t="s">
        <v>2037</v>
      </c>
      <c r="T114" t="s">
        <v>2038</v>
      </c>
    </row>
    <row r="115" spans="1:20" ht="17" hidden="1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>
        <f t="shared" si="3"/>
        <v>377</v>
      </c>
      <c r="G115" t="s">
        <v>20</v>
      </c>
      <c r="H115">
        <v>131</v>
      </c>
      <c r="I115" s="4">
        <f t="shared" si="4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9">
        <f>(((L115/60)/60)/24)+DATE(1970,1,1)</f>
        <v>42990.208333333328</v>
      </c>
      <c r="O115" s="9">
        <f t="shared" si="5"/>
        <v>42997.208333333328</v>
      </c>
      <c r="P115" t="b">
        <v>0</v>
      </c>
      <c r="Q115" t="b">
        <v>0</v>
      </c>
      <c r="R115" t="s">
        <v>17</v>
      </c>
      <c r="S115" t="s">
        <v>2033</v>
      </c>
      <c r="T115" t="s">
        <v>2034</v>
      </c>
    </row>
    <row r="116" spans="1:20" ht="17" hidden="1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>
        <f t="shared" si="3"/>
        <v>727</v>
      </c>
      <c r="G116" t="s">
        <v>20</v>
      </c>
      <c r="H116">
        <v>126</v>
      </c>
      <c r="I116" s="4">
        <f t="shared" si="4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9">
        <f>(((L116/60)/60)/24)+DATE(1970,1,1)</f>
        <v>43564.208333333328</v>
      </c>
      <c r="O116" s="9">
        <f t="shared" si="5"/>
        <v>43565.208333333328</v>
      </c>
      <c r="P116" t="b">
        <v>0</v>
      </c>
      <c r="Q116" t="b">
        <v>1</v>
      </c>
      <c r="R116" t="s">
        <v>65</v>
      </c>
      <c r="S116" t="s">
        <v>2037</v>
      </c>
      <c r="T116" t="s">
        <v>2046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>
        <f t="shared" si="3"/>
        <v>87</v>
      </c>
      <c r="G117" t="s">
        <v>14</v>
      </c>
      <c r="H117">
        <v>3304</v>
      </c>
      <c r="I117" s="4">
        <f t="shared" si="4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9">
        <f>(((L117/60)/60)/24)+DATE(1970,1,1)</f>
        <v>43056.25</v>
      </c>
      <c r="O117" s="9">
        <f t="shared" si="5"/>
        <v>43091.25</v>
      </c>
      <c r="P117" t="b">
        <v>0</v>
      </c>
      <c r="Q117" t="b">
        <v>0</v>
      </c>
      <c r="R117" t="s">
        <v>119</v>
      </c>
      <c r="S117" t="s">
        <v>2047</v>
      </c>
      <c r="T117" t="s">
        <v>2053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>
        <f t="shared" si="3"/>
        <v>88</v>
      </c>
      <c r="G118" t="s">
        <v>14</v>
      </c>
      <c r="H118">
        <v>73</v>
      </c>
      <c r="I118" s="4">
        <f t="shared" si="4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9">
        <f>(((L118/60)/60)/24)+DATE(1970,1,1)</f>
        <v>42265.208333333328</v>
      </c>
      <c r="O118" s="9">
        <f t="shared" si="5"/>
        <v>42266.208333333328</v>
      </c>
      <c r="P118" t="b">
        <v>0</v>
      </c>
      <c r="Q118" t="b">
        <v>0</v>
      </c>
      <c r="R118" t="s">
        <v>33</v>
      </c>
      <c r="S118" t="s">
        <v>2039</v>
      </c>
      <c r="T118" t="s">
        <v>2040</v>
      </c>
    </row>
    <row r="119" spans="1:20" ht="17" hidden="1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>
        <f t="shared" si="3"/>
        <v>174</v>
      </c>
      <c r="G119" t="s">
        <v>20</v>
      </c>
      <c r="H119">
        <v>275</v>
      </c>
      <c r="I119" s="4">
        <f t="shared" si="4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9">
        <f>(((L119/60)/60)/24)+DATE(1970,1,1)</f>
        <v>40808.208333333336</v>
      </c>
      <c r="O119" s="9">
        <f t="shared" si="5"/>
        <v>40814.208333333336</v>
      </c>
      <c r="P119" t="b">
        <v>0</v>
      </c>
      <c r="Q119" t="b">
        <v>0</v>
      </c>
      <c r="R119" t="s">
        <v>269</v>
      </c>
      <c r="S119" t="s">
        <v>2041</v>
      </c>
      <c r="T119" t="s">
        <v>2060</v>
      </c>
    </row>
    <row r="120" spans="1:20" ht="17" hidden="1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>
        <f t="shared" si="3"/>
        <v>118</v>
      </c>
      <c r="G120" t="s">
        <v>20</v>
      </c>
      <c r="H120">
        <v>67</v>
      </c>
      <c r="I120" s="4">
        <f t="shared" si="4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9">
        <f>(((L120/60)/60)/24)+DATE(1970,1,1)</f>
        <v>41665.25</v>
      </c>
      <c r="O120" s="9">
        <f t="shared" si="5"/>
        <v>41671.25</v>
      </c>
      <c r="P120" t="b">
        <v>0</v>
      </c>
      <c r="Q120" t="b">
        <v>0</v>
      </c>
      <c r="R120" t="s">
        <v>122</v>
      </c>
      <c r="S120" t="s">
        <v>2054</v>
      </c>
      <c r="T120" t="s">
        <v>2055</v>
      </c>
    </row>
    <row r="121" spans="1:20" ht="34" hidden="1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>
        <f t="shared" si="3"/>
        <v>215</v>
      </c>
      <c r="G121" t="s">
        <v>20</v>
      </c>
      <c r="H121">
        <v>154</v>
      </c>
      <c r="I121" s="4">
        <f t="shared" si="4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9">
        <f>(((L121/60)/60)/24)+DATE(1970,1,1)</f>
        <v>41806.208333333336</v>
      </c>
      <c r="O121" s="9">
        <f t="shared" si="5"/>
        <v>41823.208333333336</v>
      </c>
      <c r="P121" t="b">
        <v>0</v>
      </c>
      <c r="Q121" t="b">
        <v>1</v>
      </c>
      <c r="R121" t="s">
        <v>42</v>
      </c>
      <c r="S121" t="s">
        <v>2041</v>
      </c>
      <c r="T121" t="s">
        <v>2042</v>
      </c>
    </row>
    <row r="122" spans="1:20" ht="17" hidden="1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>
        <f t="shared" si="3"/>
        <v>149</v>
      </c>
      <c r="G122" t="s">
        <v>20</v>
      </c>
      <c r="H122">
        <v>1782</v>
      </c>
      <c r="I122" s="4">
        <f t="shared" si="4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9">
        <f>(((L122/60)/60)/24)+DATE(1970,1,1)</f>
        <v>42111.208333333328</v>
      </c>
      <c r="O122" s="9">
        <f t="shared" si="5"/>
        <v>42115.208333333328</v>
      </c>
      <c r="P122" t="b">
        <v>0</v>
      </c>
      <c r="Q122" t="b">
        <v>1</v>
      </c>
      <c r="R122" t="s">
        <v>292</v>
      </c>
      <c r="S122" t="s">
        <v>2050</v>
      </c>
      <c r="T122" t="s">
        <v>2061</v>
      </c>
    </row>
    <row r="123" spans="1:20" ht="17" hidden="1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>
        <f t="shared" si="3"/>
        <v>219</v>
      </c>
      <c r="G123" t="s">
        <v>20</v>
      </c>
      <c r="H123">
        <v>903</v>
      </c>
      <c r="I123" s="4">
        <f t="shared" si="4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9">
        <f>(((L123/60)/60)/24)+DATE(1970,1,1)</f>
        <v>41917.208333333336</v>
      </c>
      <c r="O123" s="9">
        <f t="shared" si="5"/>
        <v>41930.208333333336</v>
      </c>
      <c r="P123" t="b">
        <v>0</v>
      </c>
      <c r="Q123" t="b">
        <v>0</v>
      </c>
      <c r="R123" t="s">
        <v>89</v>
      </c>
      <c r="S123" t="s">
        <v>2050</v>
      </c>
      <c r="T123" t="s">
        <v>2051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>
        <f t="shared" si="3"/>
        <v>64</v>
      </c>
      <c r="G124" t="s">
        <v>14</v>
      </c>
      <c r="H124">
        <v>3387</v>
      </c>
      <c r="I124" s="4">
        <f t="shared" si="4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9">
        <f>(((L124/60)/60)/24)+DATE(1970,1,1)</f>
        <v>41970.25</v>
      </c>
      <c r="O124" s="9">
        <f t="shared" si="5"/>
        <v>41997.25</v>
      </c>
      <c r="P124" t="b">
        <v>0</v>
      </c>
      <c r="Q124" t="b">
        <v>0</v>
      </c>
      <c r="R124" t="s">
        <v>119</v>
      </c>
      <c r="S124" t="s">
        <v>2047</v>
      </c>
      <c r="T124" t="s">
        <v>2053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>
        <f t="shared" si="3"/>
        <v>19</v>
      </c>
      <c r="G125" t="s">
        <v>14</v>
      </c>
      <c r="H125">
        <v>662</v>
      </c>
      <c r="I125" s="4">
        <f t="shared" si="4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9">
        <f>(((L125/60)/60)/24)+DATE(1970,1,1)</f>
        <v>42332.25</v>
      </c>
      <c r="O125" s="9">
        <f t="shared" si="5"/>
        <v>42335.25</v>
      </c>
      <c r="P125" t="b">
        <v>1</v>
      </c>
      <c r="Q125" t="b">
        <v>0</v>
      </c>
      <c r="R125" t="s">
        <v>33</v>
      </c>
      <c r="S125" t="s">
        <v>2039</v>
      </c>
      <c r="T125" t="s">
        <v>2040</v>
      </c>
    </row>
    <row r="126" spans="1:20" ht="17" hidden="1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>
        <f t="shared" si="3"/>
        <v>368</v>
      </c>
      <c r="G126" t="s">
        <v>20</v>
      </c>
      <c r="H126">
        <v>94</v>
      </c>
      <c r="I126" s="4">
        <f t="shared" si="4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9">
        <f>(((L126/60)/60)/24)+DATE(1970,1,1)</f>
        <v>43598.208333333328</v>
      </c>
      <c r="O126" s="9">
        <f t="shared" si="5"/>
        <v>43651.208333333328</v>
      </c>
      <c r="P126" t="b">
        <v>0</v>
      </c>
      <c r="Q126" t="b">
        <v>0</v>
      </c>
      <c r="R126" t="s">
        <v>122</v>
      </c>
      <c r="S126" t="s">
        <v>2054</v>
      </c>
      <c r="T126" t="s">
        <v>2055</v>
      </c>
    </row>
    <row r="127" spans="1:20" ht="17" hidden="1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>
        <f t="shared" si="3"/>
        <v>160</v>
      </c>
      <c r="G127" t="s">
        <v>20</v>
      </c>
      <c r="H127">
        <v>180</v>
      </c>
      <c r="I127" s="4">
        <f t="shared" si="4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9">
        <f>(((L127/60)/60)/24)+DATE(1970,1,1)</f>
        <v>43362.208333333328</v>
      </c>
      <c r="O127" s="9">
        <f t="shared" si="5"/>
        <v>43366.208333333328</v>
      </c>
      <c r="P127" t="b">
        <v>0</v>
      </c>
      <c r="Q127" t="b">
        <v>0</v>
      </c>
      <c r="R127" t="s">
        <v>33</v>
      </c>
      <c r="S127" t="s">
        <v>2039</v>
      </c>
      <c r="T127" t="s">
        <v>2040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>
        <f t="shared" si="3"/>
        <v>39</v>
      </c>
      <c r="G128" t="s">
        <v>14</v>
      </c>
      <c r="H128">
        <v>774</v>
      </c>
      <c r="I128" s="4">
        <f t="shared" si="4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9">
        <f>(((L128/60)/60)/24)+DATE(1970,1,1)</f>
        <v>42596.208333333328</v>
      </c>
      <c r="O128" s="9">
        <f t="shared" si="5"/>
        <v>42624.208333333328</v>
      </c>
      <c r="P128" t="b">
        <v>0</v>
      </c>
      <c r="Q128" t="b">
        <v>1</v>
      </c>
      <c r="R128" t="s">
        <v>33</v>
      </c>
      <c r="S128" t="s">
        <v>2039</v>
      </c>
      <c r="T128" t="s">
        <v>2040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>
        <f t="shared" si="3"/>
        <v>51</v>
      </c>
      <c r="G129" t="s">
        <v>14</v>
      </c>
      <c r="H129">
        <v>672</v>
      </c>
      <c r="I129" s="4">
        <f t="shared" si="4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9">
        <f>(((L129/60)/60)/24)+DATE(1970,1,1)</f>
        <v>40310.208333333336</v>
      </c>
      <c r="O129" s="9">
        <f t="shared" si="5"/>
        <v>40313.208333333336</v>
      </c>
      <c r="P129" t="b">
        <v>0</v>
      </c>
      <c r="Q129" t="b">
        <v>0</v>
      </c>
      <c r="R129" t="s">
        <v>33</v>
      </c>
      <c r="S129" t="s">
        <v>2039</v>
      </c>
      <c r="T129" t="s">
        <v>2040</v>
      </c>
    </row>
    <row r="130" spans="1:20" ht="17" hidden="1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>
        <f t="shared" si="3"/>
        <v>60</v>
      </c>
      <c r="G130" t="s">
        <v>74</v>
      </c>
      <c r="H130">
        <v>532</v>
      </c>
      <c r="I130" s="4">
        <f t="shared" si="4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9">
        <f>(((L130/60)/60)/24)+DATE(1970,1,1)</f>
        <v>40417.208333333336</v>
      </c>
      <c r="O130" s="9">
        <f t="shared" si="5"/>
        <v>40430.208333333336</v>
      </c>
      <c r="P130" t="b">
        <v>0</v>
      </c>
      <c r="Q130" t="b">
        <v>0</v>
      </c>
      <c r="R130" t="s">
        <v>23</v>
      </c>
      <c r="S130" t="s">
        <v>2035</v>
      </c>
      <c r="T130" t="s">
        <v>2036</v>
      </c>
    </row>
    <row r="131" spans="1:20" ht="17" hidden="1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>
        <f t="shared" ref="F131:F194" si="6">ROUND(E131/D131*100,0)</f>
        <v>3</v>
      </c>
      <c r="G131" t="s">
        <v>74</v>
      </c>
      <c r="H131">
        <v>55</v>
      </c>
      <c r="I131" s="4">
        <f t="shared" ref="I131:I194" si="7">AVERAGE(E131/H131)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9">
        <f>(((L131/60)/60)/24)+DATE(1970,1,1)</f>
        <v>42038.25</v>
      </c>
      <c r="O131" s="9">
        <f t="shared" ref="O131:O194" si="8">(((M131/60)/60)/24)+DATE(1970,1,1)</f>
        <v>42063.25</v>
      </c>
      <c r="P131" t="b">
        <v>0</v>
      </c>
      <c r="Q131" t="b">
        <v>0</v>
      </c>
      <c r="R131" t="s">
        <v>17</v>
      </c>
      <c r="S131" t="s">
        <v>2033</v>
      </c>
      <c r="T131" t="s">
        <v>2034</v>
      </c>
    </row>
    <row r="132" spans="1:20" ht="17" hidden="1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>
        <f t="shared" si="6"/>
        <v>155</v>
      </c>
      <c r="G132" t="s">
        <v>20</v>
      </c>
      <c r="H132">
        <v>533</v>
      </c>
      <c r="I132" s="4">
        <f t="shared" si="7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9">
        <f>(((L132/60)/60)/24)+DATE(1970,1,1)</f>
        <v>40842.208333333336</v>
      </c>
      <c r="O132" s="9">
        <f t="shared" si="8"/>
        <v>40858.25</v>
      </c>
      <c r="P132" t="b">
        <v>0</v>
      </c>
      <c r="Q132" t="b">
        <v>0</v>
      </c>
      <c r="R132" t="s">
        <v>53</v>
      </c>
      <c r="S132" t="s">
        <v>2041</v>
      </c>
      <c r="T132" t="s">
        <v>2044</v>
      </c>
    </row>
    <row r="133" spans="1:20" ht="34" hidden="1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>
        <f t="shared" si="6"/>
        <v>101</v>
      </c>
      <c r="G133" t="s">
        <v>20</v>
      </c>
      <c r="H133">
        <v>2443</v>
      </c>
      <c r="I133" s="4">
        <f t="shared" si="7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9">
        <f>(((L133/60)/60)/24)+DATE(1970,1,1)</f>
        <v>41607.25</v>
      </c>
      <c r="O133" s="9">
        <f t="shared" si="8"/>
        <v>41620.25</v>
      </c>
      <c r="P133" t="b">
        <v>0</v>
      </c>
      <c r="Q133" t="b">
        <v>0</v>
      </c>
      <c r="R133" t="s">
        <v>28</v>
      </c>
      <c r="S133" t="s">
        <v>2037</v>
      </c>
      <c r="T133" t="s">
        <v>2038</v>
      </c>
    </row>
    <row r="134" spans="1:20" ht="17" hidden="1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>
        <f t="shared" si="6"/>
        <v>116</v>
      </c>
      <c r="G134" t="s">
        <v>20</v>
      </c>
      <c r="H134">
        <v>89</v>
      </c>
      <c r="I134" s="4">
        <f t="shared" si="7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9">
        <f>(((L134/60)/60)/24)+DATE(1970,1,1)</f>
        <v>43112.25</v>
      </c>
      <c r="O134" s="9">
        <f t="shared" si="8"/>
        <v>43128.25</v>
      </c>
      <c r="P134" t="b">
        <v>0</v>
      </c>
      <c r="Q134" t="b">
        <v>1</v>
      </c>
      <c r="R134" t="s">
        <v>33</v>
      </c>
      <c r="S134" t="s">
        <v>2039</v>
      </c>
      <c r="T134" t="s">
        <v>2040</v>
      </c>
    </row>
    <row r="135" spans="1:20" ht="17" hidden="1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>
        <f t="shared" si="6"/>
        <v>311</v>
      </c>
      <c r="G135" t="s">
        <v>20</v>
      </c>
      <c r="H135">
        <v>159</v>
      </c>
      <c r="I135" s="4">
        <f t="shared" si="7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9">
        <f>(((L135/60)/60)/24)+DATE(1970,1,1)</f>
        <v>40767.208333333336</v>
      </c>
      <c r="O135" s="9">
        <f t="shared" si="8"/>
        <v>40789.208333333336</v>
      </c>
      <c r="P135" t="b">
        <v>0</v>
      </c>
      <c r="Q135" t="b">
        <v>0</v>
      </c>
      <c r="R135" t="s">
        <v>319</v>
      </c>
      <c r="S135" t="s">
        <v>2035</v>
      </c>
      <c r="T135" t="s">
        <v>2062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>
        <f t="shared" si="6"/>
        <v>90</v>
      </c>
      <c r="G136" t="s">
        <v>14</v>
      </c>
      <c r="H136">
        <v>940</v>
      </c>
      <c r="I136" s="4">
        <f t="shared" si="7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9">
        <f>(((L136/60)/60)/24)+DATE(1970,1,1)</f>
        <v>40713.208333333336</v>
      </c>
      <c r="O136" s="9">
        <f t="shared" si="8"/>
        <v>40762.208333333336</v>
      </c>
      <c r="P136" t="b">
        <v>0</v>
      </c>
      <c r="Q136" t="b">
        <v>1</v>
      </c>
      <c r="R136" t="s">
        <v>42</v>
      </c>
      <c r="S136" t="s">
        <v>2041</v>
      </c>
      <c r="T136" t="s">
        <v>2042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>
        <f t="shared" si="6"/>
        <v>71</v>
      </c>
      <c r="G137" t="s">
        <v>14</v>
      </c>
      <c r="H137">
        <v>117</v>
      </c>
      <c r="I137" s="4">
        <f t="shared" si="7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9">
        <f>(((L137/60)/60)/24)+DATE(1970,1,1)</f>
        <v>41340.25</v>
      </c>
      <c r="O137" s="9">
        <f t="shared" si="8"/>
        <v>41345.208333333336</v>
      </c>
      <c r="P137" t="b">
        <v>0</v>
      </c>
      <c r="Q137" t="b">
        <v>1</v>
      </c>
      <c r="R137" t="s">
        <v>33</v>
      </c>
      <c r="S137" t="s">
        <v>2039</v>
      </c>
      <c r="T137" t="s">
        <v>2040</v>
      </c>
    </row>
    <row r="138" spans="1:20" ht="17" hidden="1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>
        <f t="shared" si="6"/>
        <v>3</v>
      </c>
      <c r="G138" t="s">
        <v>74</v>
      </c>
      <c r="H138">
        <v>58</v>
      </c>
      <c r="I138" s="4">
        <f t="shared" si="7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9">
        <f>(((L138/60)/60)/24)+DATE(1970,1,1)</f>
        <v>41797.208333333336</v>
      </c>
      <c r="O138" s="9">
        <f t="shared" si="8"/>
        <v>41809.208333333336</v>
      </c>
      <c r="P138" t="b">
        <v>0</v>
      </c>
      <c r="Q138" t="b">
        <v>1</v>
      </c>
      <c r="R138" t="s">
        <v>53</v>
      </c>
      <c r="S138" t="s">
        <v>2041</v>
      </c>
      <c r="T138" t="s">
        <v>2044</v>
      </c>
    </row>
    <row r="139" spans="1:20" ht="17" hidden="1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>
        <f t="shared" si="6"/>
        <v>262</v>
      </c>
      <c r="G139" t="s">
        <v>20</v>
      </c>
      <c r="H139">
        <v>50</v>
      </c>
      <c r="I139" s="4">
        <f t="shared" si="7"/>
        <v>94.24</v>
      </c>
      <c r="J139" t="s">
        <v>21</v>
      </c>
      <c r="K139" t="s">
        <v>22</v>
      </c>
      <c r="L139">
        <v>1286341200</v>
      </c>
      <c r="M139">
        <v>1286859600</v>
      </c>
      <c r="N139" s="9">
        <f>(((L139/60)/60)/24)+DATE(1970,1,1)</f>
        <v>40457.208333333336</v>
      </c>
      <c r="O139" s="9">
        <f t="shared" si="8"/>
        <v>40463.208333333336</v>
      </c>
      <c r="P139" t="b">
        <v>0</v>
      </c>
      <c r="Q139" t="b">
        <v>0</v>
      </c>
      <c r="R139" t="s">
        <v>68</v>
      </c>
      <c r="S139" t="s">
        <v>2047</v>
      </c>
      <c r="T139" t="s">
        <v>2048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>
        <f t="shared" si="6"/>
        <v>96</v>
      </c>
      <c r="G140" t="s">
        <v>14</v>
      </c>
      <c r="H140">
        <v>115</v>
      </c>
      <c r="I140" s="4">
        <f t="shared" si="7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9">
        <f>(((L140/60)/60)/24)+DATE(1970,1,1)</f>
        <v>41180.208333333336</v>
      </c>
      <c r="O140" s="9">
        <f t="shared" si="8"/>
        <v>41186.208333333336</v>
      </c>
      <c r="P140" t="b">
        <v>0</v>
      </c>
      <c r="Q140" t="b">
        <v>0</v>
      </c>
      <c r="R140" t="s">
        <v>292</v>
      </c>
      <c r="S140" t="s">
        <v>2050</v>
      </c>
      <c r="T140" t="s">
        <v>2061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>
        <f t="shared" si="6"/>
        <v>21</v>
      </c>
      <c r="G141" t="s">
        <v>14</v>
      </c>
      <c r="H141">
        <v>326</v>
      </c>
      <c r="I141" s="4">
        <f t="shared" si="7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9">
        <f>(((L141/60)/60)/24)+DATE(1970,1,1)</f>
        <v>42115.208333333328</v>
      </c>
      <c r="O141" s="9">
        <f t="shared" si="8"/>
        <v>42131.208333333328</v>
      </c>
      <c r="P141" t="b">
        <v>0</v>
      </c>
      <c r="Q141" t="b">
        <v>1</v>
      </c>
      <c r="R141" t="s">
        <v>65</v>
      </c>
      <c r="S141" t="s">
        <v>2037</v>
      </c>
      <c r="T141" t="s">
        <v>2046</v>
      </c>
    </row>
    <row r="142" spans="1:20" ht="34" hidden="1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>
        <f t="shared" si="6"/>
        <v>223</v>
      </c>
      <c r="G142" t="s">
        <v>20</v>
      </c>
      <c r="H142">
        <v>186</v>
      </c>
      <c r="I142" s="4">
        <f t="shared" si="7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9">
        <f>(((L142/60)/60)/24)+DATE(1970,1,1)</f>
        <v>43156.25</v>
      </c>
      <c r="O142" s="9">
        <f t="shared" si="8"/>
        <v>43161.25</v>
      </c>
      <c r="P142" t="b">
        <v>0</v>
      </c>
      <c r="Q142" t="b">
        <v>0</v>
      </c>
      <c r="R142" t="s">
        <v>42</v>
      </c>
      <c r="S142" t="s">
        <v>2041</v>
      </c>
      <c r="T142" t="s">
        <v>2042</v>
      </c>
    </row>
    <row r="143" spans="1:20" ht="17" hidden="1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>
        <f t="shared" si="6"/>
        <v>102</v>
      </c>
      <c r="G143" t="s">
        <v>20</v>
      </c>
      <c r="H143">
        <v>1071</v>
      </c>
      <c r="I143" s="4">
        <f t="shared" si="7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9">
        <f>(((L143/60)/60)/24)+DATE(1970,1,1)</f>
        <v>42167.208333333328</v>
      </c>
      <c r="O143" s="9">
        <f t="shared" si="8"/>
        <v>42173.208333333328</v>
      </c>
      <c r="P143" t="b">
        <v>0</v>
      </c>
      <c r="Q143" t="b">
        <v>0</v>
      </c>
      <c r="R143" t="s">
        <v>28</v>
      </c>
      <c r="S143" t="s">
        <v>2037</v>
      </c>
      <c r="T143" t="s">
        <v>2038</v>
      </c>
    </row>
    <row r="144" spans="1:20" ht="34" hidden="1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>
        <f t="shared" si="6"/>
        <v>230</v>
      </c>
      <c r="G144" t="s">
        <v>20</v>
      </c>
      <c r="H144">
        <v>117</v>
      </c>
      <c r="I144" s="4">
        <f t="shared" si="7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9">
        <f>(((L144/60)/60)/24)+DATE(1970,1,1)</f>
        <v>41005.208333333336</v>
      </c>
      <c r="O144" s="9">
        <f t="shared" si="8"/>
        <v>41046.208333333336</v>
      </c>
      <c r="P144" t="b">
        <v>0</v>
      </c>
      <c r="Q144" t="b">
        <v>0</v>
      </c>
      <c r="R144" t="s">
        <v>28</v>
      </c>
      <c r="S144" t="s">
        <v>2037</v>
      </c>
      <c r="T144" t="s">
        <v>2038</v>
      </c>
    </row>
    <row r="145" spans="1:20" ht="17" hidden="1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>
        <f t="shared" si="6"/>
        <v>136</v>
      </c>
      <c r="G145" t="s">
        <v>20</v>
      </c>
      <c r="H145">
        <v>70</v>
      </c>
      <c r="I145" s="4">
        <f t="shared" si="7"/>
        <v>104.6</v>
      </c>
      <c r="J145" t="s">
        <v>21</v>
      </c>
      <c r="K145" t="s">
        <v>22</v>
      </c>
      <c r="L145">
        <v>1277701200</v>
      </c>
      <c r="M145">
        <v>1279429200</v>
      </c>
      <c r="N145" s="9">
        <f>(((L145/60)/60)/24)+DATE(1970,1,1)</f>
        <v>40357.208333333336</v>
      </c>
      <c r="O145" s="9">
        <f t="shared" si="8"/>
        <v>40377.208333333336</v>
      </c>
      <c r="P145" t="b">
        <v>0</v>
      </c>
      <c r="Q145" t="b">
        <v>0</v>
      </c>
      <c r="R145" t="s">
        <v>60</v>
      </c>
      <c r="S145" t="s">
        <v>2035</v>
      </c>
      <c r="T145" t="s">
        <v>2045</v>
      </c>
    </row>
    <row r="146" spans="1:20" ht="17" hidden="1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>
        <f t="shared" si="6"/>
        <v>129</v>
      </c>
      <c r="G146" t="s">
        <v>20</v>
      </c>
      <c r="H146">
        <v>135</v>
      </c>
      <c r="I146" s="4">
        <f t="shared" si="7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9">
        <f>(((L146/60)/60)/24)+DATE(1970,1,1)</f>
        <v>43633.208333333328</v>
      </c>
      <c r="O146" s="9">
        <f t="shared" si="8"/>
        <v>43641.208333333328</v>
      </c>
      <c r="P146" t="b">
        <v>0</v>
      </c>
      <c r="Q146" t="b">
        <v>0</v>
      </c>
      <c r="R146" t="s">
        <v>33</v>
      </c>
      <c r="S146" t="s">
        <v>2039</v>
      </c>
      <c r="T146" t="s">
        <v>2040</v>
      </c>
    </row>
    <row r="147" spans="1:20" ht="17" hidden="1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>
        <f t="shared" si="6"/>
        <v>237</v>
      </c>
      <c r="G147" t="s">
        <v>20</v>
      </c>
      <c r="H147">
        <v>768</v>
      </c>
      <c r="I147" s="4">
        <f t="shared" si="7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9">
        <f>(((L147/60)/60)/24)+DATE(1970,1,1)</f>
        <v>41889.208333333336</v>
      </c>
      <c r="O147" s="9">
        <f t="shared" si="8"/>
        <v>41894.208333333336</v>
      </c>
      <c r="P147" t="b">
        <v>0</v>
      </c>
      <c r="Q147" t="b">
        <v>0</v>
      </c>
      <c r="R147" t="s">
        <v>65</v>
      </c>
      <c r="S147" t="s">
        <v>2037</v>
      </c>
      <c r="T147" t="s">
        <v>2046</v>
      </c>
    </row>
    <row r="148" spans="1:20" ht="34" hidden="1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>
        <f t="shared" si="6"/>
        <v>17</v>
      </c>
      <c r="G148" t="s">
        <v>74</v>
      </c>
      <c r="H148">
        <v>51</v>
      </c>
      <c r="I148" s="4">
        <f t="shared" si="7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9">
        <f>(((L148/60)/60)/24)+DATE(1970,1,1)</f>
        <v>40855.25</v>
      </c>
      <c r="O148" s="9">
        <f t="shared" si="8"/>
        <v>40875.25</v>
      </c>
      <c r="P148" t="b">
        <v>0</v>
      </c>
      <c r="Q148" t="b">
        <v>0</v>
      </c>
      <c r="R148" t="s">
        <v>33</v>
      </c>
      <c r="S148" t="s">
        <v>2039</v>
      </c>
      <c r="T148" t="s">
        <v>2040</v>
      </c>
    </row>
    <row r="149" spans="1:20" ht="34" hidden="1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>
        <f t="shared" si="6"/>
        <v>112</v>
      </c>
      <c r="G149" t="s">
        <v>20</v>
      </c>
      <c r="H149">
        <v>199</v>
      </c>
      <c r="I149" s="4">
        <f t="shared" si="7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9">
        <f>(((L149/60)/60)/24)+DATE(1970,1,1)</f>
        <v>42534.208333333328</v>
      </c>
      <c r="O149" s="9">
        <f t="shared" si="8"/>
        <v>42540.208333333328</v>
      </c>
      <c r="P149" t="b">
        <v>0</v>
      </c>
      <c r="Q149" t="b">
        <v>1</v>
      </c>
      <c r="R149" t="s">
        <v>33</v>
      </c>
      <c r="S149" t="s">
        <v>2039</v>
      </c>
      <c r="T149" t="s">
        <v>2040</v>
      </c>
    </row>
    <row r="150" spans="1:20" ht="17" hidden="1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>
        <f t="shared" si="6"/>
        <v>121</v>
      </c>
      <c r="G150" t="s">
        <v>20</v>
      </c>
      <c r="H150">
        <v>107</v>
      </c>
      <c r="I150" s="4">
        <f t="shared" si="7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9">
        <f>(((L150/60)/60)/24)+DATE(1970,1,1)</f>
        <v>42941.208333333328</v>
      </c>
      <c r="O150" s="9">
        <f t="shared" si="8"/>
        <v>42950.208333333328</v>
      </c>
      <c r="P150" t="b">
        <v>0</v>
      </c>
      <c r="Q150" t="b">
        <v>0</v>
      </c>
      <c r="R150" t="s">
        <v>65</v>
      </c>
      <c r="S150" t="s">
        <v>2037</v>
      </c>
      <c r="T150" t="s">
        <v>2046</v>
      </c>
    </row>
    <row r="151" spans="1:20" ht="17" hidden="1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>
        <f t="shared" si="6"/>
        <v>220</v>
      </c>
      <c r="G151" t="s">
        <v>20</v>
      </c>
      <c r="H151">
        <v>195</v>
      </c>
      <c r="I151" s="4">
        <f t="shared" si="7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9">
        <f>(((L151/60)/60)/24)+DATE(1970,1,1)</f>
        <v>41275.25</v>
      </c>
      <c r="O151" s="9">
        <f t="shared" si="8"/>
        <v>41327.25</v>
      </c>
      <c r="P151" t="b">
        <v>0</v>
      </c>
      <c r="Q151" t="b">
        <v>0</v>
      </c>
      <c r="R151" t="s">
        <v>60</v>
      </c>
      <c r="S151" t="s">
        <v>2035</v>
      </c>
      <c r="T151" t="s">
        <v>2045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>
        <f t="shared" si="6"/>
        <v>1</v>
      </c>
      <c r="G152" t="s">
        <v>14</v>
      </c>
      <c r="H152">
        <v>1</v>
      </c>
      <c r="I152" s="4">
        <f t="shared" si="7"/>
        <v>1</v>
      </c>
      <c r="J152" t="s">
        <v>21</v>
      </c>
      <c r="K152" t="s">
        <v>22</v>
      </c>
      <c r="L152">
        <v>1544940000</v>
      </c>
      <c r="M152">
        <v>1545026400</v>
      </c>
      <c r="N152" s="9">
        <f>(((L152/60)/60)/24)+DATE(1970,1,1)</f>
        <v>43450.25</v>
      </c>
      <c r="O152" s="9">
        <f t="shared" si="8"/>
        <v>43451.25</v>
      </c>
      <c r="P152" t="b">
        <v>0</v>
      </c>
      <c r="Q152" t="b">
        <v>0</v>
      </c>
      <c r="R152" t="s">
        <v>23</v>
      </c>
      <c r="S152" t="s">
        <v>2035</v>
      </c>
      <c r="T152" t="s">
        <v>2036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>
        <f t="shared" si="6"/>
        <v>64</v>
      </c>
      <c r="G153" t="s">
        <v>14</v>
      </c>
      <c r="H153">
        <v>1467</v>
      </c>
      <c r="I153" s="4">
        <f t="shared" si="7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9">
        <f>(((L153/60)/60)/24)+DATE(1970,1,1)</f>
        <v>41799.208333333336</v>
      </c>
      <c r="O153" s="9">
        <f t="shared" si="8"/>
        <v>41850.208333333336</v>
      </c>
      <c r="P153" t="b">
        <v>0</v>
      </c>
      <c r="Q153" t="b">
        <v>0</v>
      </c>
      <c r="R153" t="s">
        <v>50</v>
      </c>
      <c r="S153" t="s">
        <v>2035</v>
      </c>
      <c r="T153" t="s">
        <v>2043</v>
      </c>
    </row>
    <row r="154" spans="1:20" ht="17" hidden="1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>
        <f t="shared" si="6"/>
        <v>423</v>
      </c>
      <c r="G154" t="s">
        <v>20</v>
      </c>
      <c r="H154">
        <v>3376</v>
      </c>
      <c r="I154" s="4">
        <f t="shared" si="7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9">
        <f>(((L154/60)/60)/24)+DATE(1970,1,1)</f>
        <v>42783.25</v>
      </c>
      <c r="O154" s="9">
        <f t="shared" si="8"/>
        <v>42790.25</v>
      </c>
      <c r="P154" t="b">
        <v>0</v>
      </c>
      <c r="Q154" t="b">
        <v>0</v>
      </c>
      <c r="R154" t="s">
        <v>60</v>
      </c>
      <c r="S154" t="s">
        <v>2035</v>
      </c>
      <c r="T154" t="s">
        <v>2045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>
        <f t="shared" si="6"/>
        <v>93</v>
      </c>
      <c r="G155" t="s">
        <v>14</v>
      </c>
      <c r="H155">
        <v>5681</v>
      </c>
      <c r="I155" s="4">
        <f t="shared" si="7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9">
        <f>(((L155/60)/60)/24)+DATE(1970,1,1)</f>
        <v>41201.208333333336</v>
      </c>
      <c r="O155" s="9">
        <f t="shared" si="8"/>
        <v>41207.208333333336</v>
      </c>
      <c r="P155" t="b">
        <v>0</v>
      </c>
      <c r="Q155" t="b">
        <v>0</v>
      </c>
      <c r="R155" t="s">
        <v>33</v>
      </c>
      <c r="S155" t="s">
        <v>2039</v>
      </c>
      <c r="T155" t="s">
        <v>2040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>
        <f t="shared" si="6"/>
        <v>59</v>
      </c>
      <c r="G156" t="s">
        <v>14</v>
      </c>
      <c r="H156">
        <v>1059</v>
      </c>
      <c r="I156" s="4">
        <f t="shared" si="7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9">
        <f>(((L156/60)/60)/24)+DATE(1970,1,1)</f>
        <v>42502.208333333328</v>
      </c>
      <c r="O156" s="9">
        <f t="shared" si="8"/>
        <v>42525.208333333328</v>
      </c>
      <c r="P156" t="b">
        <v>0</v>
      </c>
      <c r="Q156" t="b">
        <v>1</v>
      </c>
      <c r="R156" t="s">
        <v>60</v>
      </c>
      <c r="S156" t="s">
        <v>2035</v>
      </c>
      <c r="T156" t="s">
        <v>2045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>
        <f t="shared" si="6"/>
        <v>65</v>
      </c>
      <c r="G157" t="s">
        <v>14</v>
      </c>
      <c r="H157">
        <v>1194</v>
      </c>
      <c r="I157" s="4">
        <f t="shared" si="7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9">
        <f>(((L157/60)/60)/24)+DATE(1970,1,1)</f>
        <v>40262.208333333336</v>
      </c>
      <c r="O157" s="9">
        <f t="shared" si="8"/>
        <v>40277.208333333336</v>
      </c>
      <c r="P157" t="b">
        <v>0</v>
      </c>
      <c r="Q157" t="b">
        <v>0</v>
      </c>
      <c r="R157" t="s">
        <v>33</v>
      </c>
      <c r="S157" t="s">
        <v>2039</v>
      </c>
      <c r="T157" t="s">
        <v>2040</v>
      </c>
    </row>
    <row r="158" spans="1:20" ht="17" hidden="1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>
        <f t="shared" si="6"/>
        <v>74</v>
      </c>
      <c r="G158" t="s">
        <v>74</v>
      </c>
      <c r="H158">
        <v>379</v>
      </c>
      <c r="I158" s="4">
        <f t="shared" si="7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9">
        <f>(((L158/60)/60)/24)+DATE(1970,1,1)</f>
        <v>43743.208333333328</v>
      </c>
      <c r="O158" s="9">
        <f t="shared" si="8"/>
        <v>43767.208333333328</v>
      </c>
      <c r="P158" t="b">
        <v>0</v>
      </c>
      <c r="Q158" t="b">
        <v>0</v>
      </c>
      <c r="R158" t="s">
        <v>23</v>
      </c>
      <c r="S158" t="s">
        <v>2035</v>
      </c>
      <c r="T158" t="s">
        <v>2036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>
        <f t="shared" si="6"/>
        <v>53</v>
      </c>
      <c r="G159" t="s">
        <v>14</v>
      </c>
      <c r="H159">
        <v>30</v>
      </c>
      <c r="I159" s="4">
        <f t="shared" si="7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9">
        <f>(((L159/60)/60)/24)+DATE(1970,1,1)</f>
        <v>41638.25</v>
      </c>
      <c r="O159" s="9">
        <f t="shared" si="8"/>
        <v>41650.25</v>
      </c>
      <c r="P159" t="b">
        <v>0</v>
      </c>
      <c r="Q159" t="b">
        <v>0</v>
      </c>
      <c r="R159" t="s">
        <v>122</v>
      </c>
      <c r="S159" t="s">
        <v>2054</v>
      </c>
      <c r="T159" t="s">
        <v>2055</v>
      </c>
    </row>
    <row r="160" spans="1:20" ht="17" hidden="1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>
        <f t="shared" si="6"/>
        <v>221</v>
      </c>
      <c r="G160" t="s">
        <v>20</v>
      </c>
      <c r="H160">
        <v>41</v>
      </c>
      <c r="I160" s="4">
        <f t="shared" si="7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9">
        <f>(((L160/60)/60)/24)+DATE(1970,1,1)</f>
        <v>42346.25</v>
      </c>
      <c r="O160" s="9">
        <f t="shared" si="8"/>
        <v>42347.25</v>
      </c>
      <c r="P160" t="b">
        <v>0</v>
      </c>
      <c r="Q160" t="b">
        <v>0</v>
      </c>
      <c r="R160" t="s">
        <v>23</v>
      </c>
      <c r="S160" t="s">
        <v>2035</v>
      </c>
      <c r="T160" t="s">
        <v>2036</v>
      </c>
    </row>
    <row r="161" spans="1:20" ht="17" hidden="1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>
        <f t="shared" si="6"/>
        <v>100</v>
      </c>
      <c r="G161" t="s">
        <v>20</v>
      </c>
      <c r="H161">
        <v>1821</v>
      </c>
      <c r="I161" s="4">
        <f t="shared" si="7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9">
        <f>(((L161/60)/60)/24)+DATE(1970,1,1)</f>
        <v>43551.208333333328</v>
      </c>
      <c r="O161" s="9">
        <f t="shared" si="8"/>
        <v>43569.208333333328</v>
      </c>
      <c r="P161" t="b">
        <v>0</v>
      </c>
      <c r="Q161" t="b">
        <v>1</v>
      </c>
      <c r="R161" t="s">
        <v>33</v>
      </c>
      <c r="S161" t="s">
        <v>2039</v>
      </c>
      <c r="T161" t="s">
        <v>2040</v>
      </c>
    </row>
    <row r="162" spans="1:20" ht="17" hidden="1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>
        <f t="shared" si="6"/>
        <v>162</v>
      </c>
      <c r="G162" t="s">
        <v>20</v>
      </c>
      <c r="H162">
        <v>164</v>
      </c>
      <c r="I162" s="4">
        <f t="shared" si="7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9">
        <f>(((L162/60)/60)/24)+DATE(1970,1,1)</f>
        <v>43582.208333333328</v>
      </c>
      <c r="O162" s="9">
        <f t="shared" si="8"/>
        <v>43598.208333333328</v>
      </c>
      <c r="P162" t="b">
        <v>0</v>
      </c>
      <c r="Q162" t="b">
        <v>0</v>
      </c>
      <c r="R162" t="s">
        <v>65</v>
      </c>
      <c r="S162" t="s">
        <v>2037</v>
      </c>
      <c r="T162" t="s">
        <v>2046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>
        <f t="shared" si="6"/>
        <v>78</v>
      </c>
      <c r="G163" t="s">
        <v>14</v>
      </c>
      <c r="H163">
        <v>75</v>
      </c>
      <c r="I163" s="4">
        <f t="shared" si="7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9">
        <f>(((L163/60)/60)/24)+DATE(1970,1,1)</f>
        <v>42270.208333333328</v>
      </c>
      <c r="O163" s="9">
        <f t="shared" si="8"/>
        <v>42276.208333333328</v>
      </c>
      <c r="P163" t="b">
        <v>0</v>
      </c>
      <c r="Q163" t="b">
        <v>1</v>
      </c>
      <c r="R163" t="s">
        <v>28</v>
      </c>
      <c r="S163" t="s">
        <v>2037</v>
      </c>
      <c r="T163" t="s">
        <v>2038</v>
      </c>
    </row>
    <row r="164" spans="1:20" ht="34" hidden="1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>
        <f t="shared" si="6"/>
        <v>150</v>
      </c>
      <c r="G164" t="s">
        <v>20</v>
      </c>
      <c r="H164">
        <v>157</v>
      </c>
      <c r="I164" s="4">
        <f t="shared" si="7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9">
        <f>(((L164/60)/60)/24)+DATE(1970,1,1)</f>
        <v>43442.25</v>
      </c>
      <c r="O164" s="9">
        <f t="shared" si="8"/>
        <v>43472.25</v>
      </c>
      <c r="P164" t="b">
        <v>0</v>
      </c>
      <c r="Q164" t="b">
        <v>0</v>
      </c>
      <c r="R164" t="s">
        <v>23</v>
      </c>
      <c r="S164" t="s">
        <v>2035</v>
      </c>
      <c r="T164" t="s">
        <v>2036</v>
      </c>
    </row>
    <row r="165" spans="1:20" ht="17" hidden="1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>
        <f t="shared" si="6"/>
        <v>253</v>
      </c>
      <c r="G165" t="s">
        <v>20</v>
      </c>
      <c r="H165">
        <v>246</v>
      </c>
      <c r="I165" s="4">
        <f t="shared" si="7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9">
        <f>(((L165/60)/60)/24)+DATE(1970,1,1)</f>
        <v>43028.208333333328</v>
      </c>
      <c r="O165" s="9">
        <f t="shared" si="8"/>
        <v>43077.25</v>
      </c>
      <c r="P165" t="b">
        <v>0</v>
      </c>
      <c r="Q165" t="b">
        <v>1</v>
      </c>
      <c r="R165" t="s">
        <v>122</v>
      </c>
      <c r="S165" t="s">
        <v>2054</v>
      </c>
      <c r="T165" t="s">
        <v>2055</v>
      </c>
    </row>
    <row r="166" spans="1:20" ht="17" hidden="1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>
        <f t="shared" si="6"/>
        <v>100</v>
      </c>
      <c r="G166" t="s">
        <v>20</v>
      </c>
      <c r="H166">
        <v>1396</v>
      </c>
      <c r="I166" s="4">
        <f t="shared" si="7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9">
        <f>(((L166/60)/60)/24)+DATE(1970,1,1)</f>
        <v>43016.208333333328</v>
      </c>
      <c r="O166" s="9">
        <f t="shared" si="8"/>
        <v>43017.208333333328</v>
      </c>
      <c r="P166" t="b">
        <v>0</v>
      </c>
      <c r="Q166" t="b">
        <v>0</v>
      </c>
      <c r="R166" t="s">
        <v>33</v>
      </c>
      <c r="S166" t="s">
        <v>2039</v>
      </c>
      <c r="T166" t="s">
        <v>2040</v>
      </c>
    </row>
    <row r="167" spans="1:20" ht="17" hidden="1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>
        <f t="shared" si="6"/>
        <v>122</v>
      </c>
      <c r="G167" t="s">
        <v>20</v>
      </c>
      <c r="H167">
        <v>2506</v>
      </c>
      <c r="I167" s="4">
        <f t="shared" si="7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9">
        <f>(((L167/60)/60)/24)+DATE(1970,1,1)</f>
        <v>42948.208333333328</v>
      </c>
      <c r="O167" s="9">
        <f t="shared" si="8"/>
        <v>42980.208333333328</v>
      </c>
      <c r="P167" t="b">
        <v>0</v>
      </c>
      <c r="Q167" t="b">
        <v>0</v>
      </c>
      <c r="R167" t="s">
        <v>28</v>
      </c>
      <c r="S167" t="s">
        <v>2037</v>
      </c>
      <c r="T167" t="s">
        <v>2038</v>
      </c>
    </row>
    <row r="168" spans="1:20" ht="17" hidden="1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>
        <f t="shared" si="6"/>
        <v>137</v>
      </c>
      <c r="G168" t="s">
        <v>20</v>
      </c>
      <c r="H168">
        <v>244</v>
      </c>
      <c r="I168" s="4">
        <f t="shared" si="7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9">
        <f>(((L168/60)/60)/24)+DATE(1970,1,1)</f>
        <v>40534.25</v>
      </c>
      <c r="O168" s="9">
        <f t="shared" si="8"/>
        <v>40538.25</v>
      </c>
      <c r="P168" t="b">
        <v>0</v>
      </c>
      <c r="Q168" t="b">
        <v>0</v>
      </c>
      <c r="R168" t="s">
        <v>122</v>
      </c>
      <c r="S168" t="s">
        <v>2054</v>
      </c>
      <c r="T168" t="s">
        <v>2055</v>
      </c>
    </row>
    <row r="169" spans="1:20" ht="17" hidden="1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>
        <f t="shared" si="6"/>
        <v>416</v>
      </c>
      <c r="G169" t="s">
        <v>20</v>
      </c>
      <c r="H169">
        <v>146</v>
      </c>
      <c r="I169" s="4">
        <f t="shared" si="7"/>
        <v>74</v>
      </c>
      <c r="J169" t="s">
        <v>26</v>
      </c>
      <c r="K169" t="s">
        <v>27</v>
      </c>
      <c r="L169">
        <v>1370840400</v>
      </c>
      <c r="M169">
        <v>1371704400</v>
      </c>
      <c r="N169" s="9">
        <f>(((L169/60)/60)/24)+DATE(1970,1,1)</f>
        <v>41435.208333333336</v>
      </c>
      <c r="O169" s="9">
        <f t="shared" si="8"/>
        <v>41445.208333333336</v>
      </c>
      <c r="P169" t="b">
        <v>0</v>
      </c>
      <c r="Q169" t="b">
        <v>0</v>
      </c>
      <c r="R169" t="s">
        <v>33</v>
      </c>
      <c r="S169" t="s">
        <v>2039</v>
      </c>
      <c r="T169" t="s">
        <v>2040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>
        <f t="shared" si="6"/>
        <v>31</v>
      </c>
      <c r="G170" t="s">
        <v>14</v>
      </c>
      <c r="H170">
        <v>955</v>
      </c>
      <c r="I170" s="4">
        <f t="shared" si="7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9">
        <f>(((L170/60)/60)/24)+DATE(1970,1,1)</f>
        <v>43518.25</v>
      </c>
      <c r="O170" s="9">
        <f t="shared" si="8"/>
        <v>43541.208333333328</v>
      </c>
      <c r="P170" t="b">
        <v>0</v>
      </c>
      <c r="Q170" t="b">
        <v>1</v>
      </c>
      <c r="R170" t="s">
        <v>60</v>
      </c>
      <c r="S170" t="s">
        <v>2035</v>
      </c>
      <c r="T170" t="s">
        <v>2045</v>
      </c>
    </row>
    <row r="171" spans="1:20" ht="17" hidden="1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>
        <f t="shared" si="6"/>
        <v>424</v>
      </c>
      <c r="G171" t="s">
        <v>20</v>
      </c>
      <c r="H171">
        <v>1267</v>
      </c>
      <c r="I171" s="4">
        <f t="shared" si="7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9">
        <f>(((L171/60)/60)/24)+DATE(1970,1,1)</f>
        <v>41077.208333333336</v>
      </c>
      <c r="O171" s="9">
        <f t="shared" si="8"/>
        <v>41105.208333333336</v>
      </c>
      <c r="P171" t="b">
        <v>0</v>
      </c>
      <c r="Q171" t="b">
        <v>1</v>
      </c>
      <c r="R171" t="s">
        <v>100</v>
      </c>
      <c r="S171" t="s">
        <v>2041</v>
      </c>
      <c r="T171" t="s">
        <v>2052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>
        <f t="shared" si="6"/>
        <v>3</v>
      </c>
      <c r="G172" t="s">
        <v>14</v>
      </c>
      <c r="H172">
        <v>67</v>
      </c>
      <c r="I172" s="4">
        <f t="shared" si="7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9">
        <f>(((L172/60)/60)/24)+DATE(1970,1,1)</f>
        <v>42950.208333333328</v>
      </c>
      <c r="O172" s="9">
        <f t="shared" si="8"/>
        <v>42957.208333333328</v>
      </c>
      <c r="P172" t="b">
        <v>0</v>
      </c>
      <c r="Q172" t="b">
        <v>0</v>
      </c>
      <c r="R172" t="s">
        <v>60</v>
      </c>
      <c r="S172" t="s">
        <v>2035</v>
      </c>
      <c r="T172" t="s">
        <v>2045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>
        <f t="shared" si="6"/>
        <v>11</v>
      </c>
      <c r="G173" t="s">
        <v>14</v>
      </c>
      <c r="H173">
        <v>5</v>
      </c>
      <c r="I173" s="4">
        <f t="shared" si="7"/>
        <v>104.2</v>
      </c>
      <c r="J173" t="s">
        <v>21</v>
      </c>
      <c r="K173" t="s">
        <v>22</v>
      </c>
      <c r="L173">
        <v>1395291600</v>
      </c>
      <c r="M173">
        <v>1397192400</v>
      </c>
      <c r="N173" s="9">
        <f>(((L173/60)/60)/24)+DATE(1970,1,1)</f>
        <v>41718.208333333336</v>
      </c>
      <c r="O173" s="9">
        <f t="shared" si="8"/>
        <v>41740.208333333336</v>
      </c>
      <c r="P173" t="b">
        <v>0</v>
      </c>
      <c r="Q173" t="b">
        <v>0</v>
      </c>
      <c r="R173" t="s">
        <v>206</v>
      </c>
      <c r="S173" t="s">
        <v>2047</v>
      </c>
      <c r="T173" t="s">
        <v>2059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>
        <f t="shared" si="6"/>
        <v>83</v>
      </c>
      <c r="G174" t="s">
        <v>14</v>
      </c>
      <c r="H174">
        <v>26</v>
      </c>
      <c r="I174" s="4">
        <f t="shared" si="7"/>
        <v>25.5</v>
      </c>
      <c r="J174" t="s">
        <v>21</v>
      </c>
      <c r="K174" t="s">
        <v>22</v>
      </c>
      <c r="L174">
        <v>1405746000</v>
      </c>
      <c r="M174">
        <v>1407042000</v>
      </c>
      <c r="N174" s="9">
        <f>(((L174/60)/60)/24)+DATE(1970,1,1)</f>
        <v>41839.208333333336</v>
      </c>
      <c r="O174" s="9">
        <f t="shared" si="8"/>
        <v>41854.208333333336</v>
      </c>
      <c r="P174" t="b">
        <v>0</v>
      </c>
      <c r="Q174" t="b">
        <v>1</v>
      </c>
      <c r="R174" t="s">
        <v>42</v>
      </c>
      <c r="S174" t="s">
        <v>2041</v>
      </c>
      <c r="T174" t="s">
        <v>2042</v>
      </c>
    </row>
    <row r="175" spans="1:20" ht="34" hidden="1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>
        <f t="shared" si="6"/>
        <v>163</v>
      </c>
      <c r="G175" t="s">
        <v>20</v>
      </c>
      <c r="H175">
        <v>1561</v>
      </c>
      <c r="I175" s="4">
        <f t="shared" si="7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9">
        <f>(((L175/60)/60)/24)+DATE(1970,1,1)</f>
        <v>41412.208333333336</v>
      </c>
      <c r="O175" s="9">
        <f t="shared" si="8"/>
        <v>41418.208333333336</v>
      </c>
      <c r="P175" t="b">
        <v>0</v>
      </c>
      <c r="Q175" t="b">
        <v>0</v>
      </c>
      <c r="R175" t="s">
        <v>33</v>
      </c>
      <c r="S175" t="s">
        <v>2039</v>
      </c>
      <c r="T175" t="s">
        <v>2040</v>
      </c>
    </row>
    <row r="176" spans="1:20" ht="17" hidden="1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>
        <f t="shared" si="6"/>
        <v>895</v>
      </c>
      <c r="G176" t="s">
        <v>20</v>
      </c>
      <c r="H176">
        <v>48</v>
      </c>
      <c r="I176" s="4">
        <f t="shared" si="7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9">
        <f>(((L176/60)/60)/24)+DATE(1970,1,1)</f>
        <v>42282.208333333328</v>
      </c>
      <c r="O176" s="9">
        <f t="shared" si="8"/>
        <v>42283.208333333328</v>
      </c>
      <c r="P176" t="b">
        <v>0</v>
      </c>
      <c r="Q176" t="b">
        <v>1</v>
      </c>
      <c r="R176" t="s">
        <v>65</v>
      </c>
      <c r="S176" t="s">
        <v>2037</v>
      </c>
      <c r="T176" t="s">
        <v>2046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>
        <f t="shared" si="6"/>
        <v>26</v>
      </c>
      <c r="G177" t="s">
        <v>14</v>
      </c>
      <c r="H177">
        <v>1130</v>
      </c>
      <c r="I177" s="4">
        <f t="shared" si="7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9">
        <f>(((L177/60)/60)/24)+DATE(1970,1,1)</f>
        <v>42613.208333333328</v>
      </c>
      <c r="O177" s="9">
        <f t="shared" si="8"/>
        <v>42632.208333333328</v>
      </c>
      <c r="P177" t="b">
        <v>0</v>
      </c>
      <c r="Q177" t="b">
        <v>0</v>
      </c>
      <c r="R177" t="s">
        <v>33</v>
      </c>
      <c r="S177" t="s">
        <v>2039</v>
      </c>
      <c r="T177" t="s">
        <v>2040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>
        <f t="shared" si="6"/>
        <v>75</v>
      </c>
      <c r="G178" t="s">
        <v>14</v>
      </c>
      <c r="H178">
        <v>782</v>
      </c>
      <c r="I178" s="4">
        <f t="shared" si="7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9">
        <f>(((L178/60)/60)/24)+DATE(1970,1,1)</f>
        <v>42616.208333333328</v>
      </c>
      <c r="O178" s="9">
        <f t="shared" si="8"/>
        <v>42625.208333333328</v>
      </c>
      <c r="P178" t="b">
        <v>0</v>
      </c>
      <c r="Q178" t="b">
        <v>0</v>
      </c>
      <c r="R178" t="s">
        <v>33</v>
      </c>
      <c r="S178" t="s">
        <v>2039</v>
      </c>
      <c r="T178" t="s">
        <v>2040</v>
      </c>
    </row>
    <row r="179" spans="1:20" ht="17" hidden="1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>
        <f t="shared" si="6"/>
        <v>416</v>
      </c>
      <c r="G179" t="s">
        <v>20</v>
      </c>
      <c r="H179">
        <v>2739</v>
      </c>
      <c r="I179" s="4">
        <f t="shared" si="7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9">
        <f>(((L179/60)/60)/24)+DATE(1970,1,1)</f>
        <v>40497.25</v>
      </c>
      <c r="O179" s="9">
        <f t="shared" si="8"/>
        <v>40522.25</v>
      </c>
      <c r="P179" t="b">
        <v>0</v>
      </c>
      <c r="Q179" t="b">
        <v>0</v>
      </c>
      <c r="R179" t="s">
        <v>33</v>
      </c>
      <c r="S179" t="s">
        <v>2039</v>
      </c>
      <c r="T179" t="s">
        <v>2040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>
        <f t="shared" si="6"/>
        <v>96</v>
      </c>
      <c r="G180" t="s">
        <v>14</v>
      </c>
      <c r="H180">
        <v>210</v>
      </c>
      <c r="I180" s="4">
        <f t="shared" si="7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9">
        <f>(((L180/60)/60)/24)+DATE(1970,1,1)</f>
        <v>42999.208333333328</v>
      </c>
      <c r="O180" s="9">
        <f t="shared" si="8"/>
        <v>43008.208333333328</v>
      </c>
      <c r="P180" t="b">
        <v>0</v>
      </c>
      <c r="Q180" t="b">
        <v>0</v>
      </c>
      <c r="R180" t="s">
        <v>17</v>
      </c>
      <c r="S180" t="s">
        <v>2033</v>
      </c>
      <c r="T180" t="s">
        <v>2034</v>
      </c>
    </row>
    <row r="181" spans="1:20" ht="34" hidden="1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>
        <f t="shared" si="6"/>
        <v>358</v>
      </c>
      <c r="G181" t="s">
        <v>20</v>
      </c>
      <c r="H181">
        <v>3537</v>
      </c>
      <c r="I181" s="4">
        <f t="shared" si="7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9">
        <f>(((L181/60)/60)/24)+DATE(1970,1,1)</f>
        <v>41350.208333333336</v>
      </c>
      <c r="O181" s="9">
        <f t="shared" si="8"/>
        <v>41351.208333333336</v>
      </c>
      <c r="P181" t="b">
        <v>0</v>
      </c>
      <c r="Q181" t="b">
        <v>1</v>
      </c>
      <c r="R181" t="s">
        <v>33</v>
      </c>
      <c r="S181" t="s">
        <v>2039</v>
      </c>
      <c r="T181" t="s">
        <v>2040</v>
      </c>
    </row>
    <row r="182" spans="1:20" ht="17" hidden="1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>
        <f t="shared" si="6"/>
        <v>308</v>
      </c>
      <c r="G182" t="s">
        <v>20</v>
      </c>
      <c r="H182">
        <v>2107</v>
      </c>
      <c r="I182" s="4">
        <f t="shared" si="7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9">
        <f>(((L182/60)/60)/24)+DATE(1970,1,1)</f>
        <v>40259.208333333336</v>
      </c>
      <c r="O182" s="9">
        <f t="shared" si="8"/>
        <v>40264.208333333336</v>
      </c>
      <c r="P182" t="b">
        <v>0</v>
      </c>
      <c r="Q182" t="b">
        <v>0</v>
      </c>
      <c r="R182" t="s">
        <v>65</v>
      </c>
      <c r="S182" t="s">
        <v>2037</v>
      </c>
      <c r="T182" t="s">
        <v>2046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>
        <f t="shared" si="6"/>
        <v>62</v>
      </c>
      <c r="G183" t="s">
        <v>14</v>
      </c>
      <c r="H183">
        <v>136</v>
      </c>
      <c r="I183" s="4">
        <f t="shared" si="7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9">
        <f>(((L183/60)/60)/24)+DATE(1970,1,1)</f>
        <v>43012.208333333328</v>
      </c>
      <c r="O183" s="9">
        <f t="shared" si="8"/>
        <v>43030.208333333328</v>
      </c>
      <c r="P183" t="b">
        <v>0</v>
      </c>
      <c r="Q183" t="b">
        <v>0</v>
      </c>
      <c r="R183" t="s">
        <v>28</v>
      </c>
      <c r="S183" t="s">
        <v>2037</v>
      </c>
      <c r="T183" t="s">
        <v>2038</v>
      </c>
    </row>
    <row r="184" spans="1:20" ht="34" hidden="1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>
        <f t="shared" si="6"/>
        <v>722</v>
      </c>
      <c r="G184" t="s">
        <v>20</v>
      </c>
      <c r="H184">
        <v>3318</v>
      </c>
      <c r="I184" s="4">
        <f t="shared" si="7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9">
        <f>(((L184/60)/60)/24)+DATE(1970,1,1)</f>
        <v>43631.208333333328</v>
      </c>
      <c r="O184" s="9">
        <f t="shared" si="8"/>
        <v>43647.208333333328</v>
      </c>
      <c r="P184" t="b">
        <v>0</v>
      </c>
      <c r="Q184" t="b">
        <v>0</v>
      </c>
      <c r="R184" t="s">
        <v>33</v>
      </c>
      <c r="S184" t="s">
        <v>2039</v>
      </c>
      <c r="T184" t="s">
        <v>2040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>
        <f t="shared" si="6"/>
        <v>69</v>
      </c>
      <c r="G185" t="s">
        <v>14</v>
      </c>
      <c r="H185">
        <v>86</v>
      </c>
      <c r="I185" s="4">
        <f t="shared" si="7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9">
        <f>(((L185/60)/60)/24)+DATE(1970,1,1)</f>
        <v>40430.208333333336</v>
      </c>
      <c r="O185" s="9">
        <f t="shared" si="8"/>
        <v>40443.208333333336</v>
      </c>
      <c r="P185" t="b">
        <v>0</v>
      </c>
      <c r="Q185" t="b">
        <v>0</v>
      </c>
      <c r="R185" t="s">
        <v>23</v>
      </c>
      <c r="S185" t="s">
        <v>2035</v>
      </c>
      <c r="T185" t="s">
        <v>2036</v>
      </c>
    </row>
    <row r="186" spans="1:20" ht="17" hidden="1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>
        <f t="shared" si="6"/>
        <v>293</v>
      </c>
      <c r="G186" t="s">
        <v>20</v>
      </c>
      <c r="H186">
        <v>340</v>
      </c>
      <c r="I186" s="4">
        <f t="shared" si="7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9">
        <f>(((L186/60)/60)/24)+DATE(1970,1,1)</f>
        <v>43588.208333333328</v>
      </c>
      <c r="O186" s="9">
        <f t="shared" si="8"/>
        <v>43589.208333333328</v>
      </c>
      <c r="P186" t="b">
        <v>0</v>
      </c>
      <c r="Q186" t="b">
        <v>0</v>
      </c>
      <c r="R186" t="s">
        <v>33</v>
      </c>
      <c r="S186" t="s">
        <v>2039</v>
      </c>
      <c r="T186" t="s">
        <v>2040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>
        <f t="shared" si="6"/>
        <v>72</v>
      </c>
      <c r="G187" t="s">
        <v>14</v>
      </c>
      <c r="H187">
        <v>19</v>
      </c>
      <c r="I187" s="4">
        <f t="shared" si="7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9">
        <f>(((L187/60)/60)/24)+DATE(1970,1,1)</f>
        <v>43233.208333333328</v>
      </c>
      <c r="O187" s="9">
        <f t="shared" si="8"/>
        <v>43244.208333333328</v>
      </c>
      <c r="P187" t="b">
        <v>0</v>
      </c>
      <c r="Q187" t="b">
        <v>0</v>
      </c>
      <c r="R187" t="s">
        <v>269</v>
      </c>
      <c r="S187" t="s">
        <v>2041</v>
      </c>
      <c r="T187" t="s">
        <v>2060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>
        <f t="shared" si="6"/>
        <v>32</v>
      </c>
      <c r="G188" t="s">
        <v>14</v>
      </c>
      <c r="H188">
        <v>886</v>
      </c>
      <c r="I188" s="4">
        <f t="shared" si="7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9">
        <f>(((L188/60)/60)/24)+DATE(1970,1,1)</f>
        <v>41782.208333333336</v>
      </c>
      <c r="O188" s="9">
        <f t="shared" si="8"/>
        <v>41797.208333333336</v>
      </c>
      <c r="P188" t="b">
        <v>0</v>
      </c>
      <c r="Q188" t="b">
        <v>0</v>
      </c>
      <c r="R188" t="s">
        <v>33</v>
      </c>
      <c r="S188" t="s">
        <v>2039</v>
      </c>
      <c r="T188" t="s">
        <v>2040</v>
      </c>
    </row>
    <row r="189" spans="1:20" ht="17" hidden="1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>
        <f t="shared" si="6"/>
        <v>230</v>
      </c>
      <c r="G189" t="s">
        <v>20</v>
      </c>
      <c r="H189">
        <v>1442</v>
      </c>
      <c r="I189" s="4">
        <f t="shared" si="7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9">
        <f>(((L189/60)/60)/24)+DATE(1970,1,1)</f>
        <v>41328.25</v>
      </c>
      <c r="O189" s="9">
        <f t="shared" si="8"/>
        <v>41356.208333333336</v>
      </c>
      <c r="P189" t="b">
        <v>0</v>
      </c>
      <c r="Q189" t="b">
        <v>1</v>
      </c>
      <c r="R189" t="s">
        <v>100</v>
      </c>
      <c r="S189" t="s">
        <v>2041</v>
      </c>
      <c r="T189" t="s">
        <v>2052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>
        <f t="shared" si="6"/>
        <v>32</v>
      </c>
      <c r="G190" t="s">
        <v>14</v>
      </c>
      <c r="H190">
        <v>35</v>
      </c>
      <c r="I190" s="4">
        <f t="shared" si="7"/>
        <v>75</v>
      </c>
      <c r="J190" t="s">
        <v>107</v>
      </c>
      <c r="K190" t="s">
        <v>108</v>
      </c>
      <c r="L190">
        <v>1417500000</v>
      </c>
      <c r="M190">
        <v>1417586400</v>
      </c>
      <c r="N190" s="9">
        <f>(((L190/60)/60)/24)+DATE(1970,1,1)</f>
        <v>41975.25</v>
      </c>
      <c r="O190" s="9">
        <f t="shared" si="8"/>
        <v>41976.25</v>
      </c>
      <c r="P190" t="b">
        <v>0</v>
      </c>
      <c r="Q190" t="b">
        <v>0</v>
      </c>
      <c r="R190" t="s">
        <v>33</v>
      </c>
      <c r="S190" t="s">
        <v>2039</v>
      </c>
      <c r="T190" t="s">
        <v>2040</v>
      </c>
    </row>
    <row r="191" spans="1:20" ht="17" hidden="1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>
        <f t="shared" si="6"/>
        <v>24</v>
      </c>
      <c r="G191" t="s">
        <v>74</v>
      </c>
      <c r="H191">
        <v>441</v>
      </c>
      <c r="I191" s="4">
        <f t="shared" si="7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9">
        <f>(((L191/60)/60)/24)+DATE(1970,1,1)</f>
        <v>42433.25</v>
      </c>
      <c r="O191" s="9">
        <f t="shared" si="8"/>
        <v>42433.25</v>
      </c>
      <c r="P191" t="b">
        <v>0</v>
      </c>
      <c r="Q191" t="b">
        <v>0</v>
      </c>
      <c r="R191" t="s">
        <v>33</v>
      </c>
      <c r="S191" t="s">
        <v>2039</v>
      </c>
      <c r="T191" t="s">
        <v>2040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>
        <f t="shared" si="6"/>
        <v>69</v>
      </c>
      <c r="G192" t="s">
        <v>14</v>
      </c>
      <c r="H192">
        <v>24</v>
      </c>
      <c r="I192" s="4">
        <f t="shared" si="7"/>
        <v>105.75</v>
      </c>
      <c r="J192" t="s">
        <v>21</v>
      </c>
      <c r="K192" t="s">
        <v>22</v>
      </c>
      <c r="L192">
        <v>1370322000</v>
      </c>
      <c r="M192">
        <v>1370408400</v>
      </c>
      <c r="N192" s="9">
        <f>(((L192/60)/60)/24)+DATE(1970,1,1)</f>
        <v>41429.208333333336</v>
      </c>
      <c r="O192" s="9">
        <f t="shared" si="8"/>
        <v>41430.208333333336</v>
      </c>
      <c r="P192" t="b">
        <v>0</v>
      </c>
      <c r="Q192" t="b">
        <v>1</v>
      </c>
      <c r="R192" t="s">
        <v>33</v>
      </c>
      <c r="S192" t="s">
        <v>2039</v>
      </c>
      <c r="T192" t="s">
        <v>2040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>
        <f t="shared" si="6"/>
        <v>38</v>
      </c>
      <c r="G193" t="s">
        <v>14</v>
      </c>
      <c r="H193">
        <v>86</v>
      </c>
      <c r="I193" s="4">
        <f t="shared" si="7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9">
        <f>(((L193/60)/60)/24)+DATE(1970,1,1)</f>
        <v>43536.208333333328</v>
      </c>
      <c r="O193" s="9">
        <f t="shared" si="8"/>
        <v>43539.208333333328</v>
      </c>
      <c r="P193" t="b">
        <v>0</v>
      </c>
      <c r="Q193" t="b">
        <v>0</v>
      </c>
      <c r="R193" t="s">
        <v>33</v>
      </c>
      <c r="S193" t="s">
        <v>2039</v>
      </c>
      <c r="T193" t="s">
        <v>2040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>
        <f t="shared" si="6"/>
        <v>20</v>
      </c>
      <c r="G194" t="s">
        <v>14</v>
      </c>
      <c r="H194">
        <v>243</v>
      </c>
      <c r="I194" s="4">
        <f t="shared" si="7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9">
        <f>(((L194/60)/60)/24)+DATE(1970,1,1)</f>
        <v>41817.208333333336</v>
      </c>
      <c r="O194" s="9">
        <f t="shared" si="8"/>
        <v>41821.208333333336</v>
      </c>
      <c r="P194" t="b">
        <v>0</v>
      </c>
      <c r="Q194" t="b">
        <v>0</v>
      </c>
      <c r="R194" t="s">
        <v>23</v>
      </c>
      <c r="S194" t="s">
        <v>2035</v>
      </c>
      <c r="T194" t="s">
        <v>2036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>
        <f t="shared" ref="F195:F258" si="9">ROUND(E195/D195*100,0)</f>
        <v>46</v>
      </c>
      <c r="G195" t="s">
        <v>14</v>
      </c>
      <c r="H195">
        <v>65</v>
      </c>
      <c r="I195" s="4">
        <f t="shared" ref="I195:I258" si="10">AVERAGE(E195/H195)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9">
        <f>(((L195/60)/60)/24)+DATE(1970,1,1)</f>
        <v>43198.208333333328</v>
      </c>
      <c r="O195" s="9">
        <f t="shared" ref="O195:O258" si="11">(((M195/60)/60)/24)+DATE(1970,1,1)</f>
        <v>43202.208333333328</v>
      </c>
      <c r="P195" t="b">
        <v>1</v>
      </c>
      <c r="Q195" t="b">
        <v>0</v>
      </c>
      <c r="R195" t="s">
        <v>60</v>
      </c>
      <c r="S195" t="s">
        <v>2035</v>
      </c>
      <c r="T195" t="s">
        <v>2045</v>
      </c>
    </row>
    <row r="196" spans="1:20" ht="17" hidden="1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>
        <f t="shared" si="9"/>
        <v>123</v>
      </c>
      <c r="G196" t="s">
        <v>20</v>
      </c>
      <c r="H196">
        <v>126</v>
      </c>
      <c r="I196" s="4">
        <f t="shared" si="10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9">
        <f>(((L196/60)/60)/24)+DATE(1970,1,1)</f>
        <v>42261.208333333328</v>
      </c>
      <c r="O196" s="9">
        <f t="shared" si="11"/>
        <v>42277.208333333328</v>
      </c>
      <c r="P196" t="b">
        <v>0</v>
      </c>
      <c r="Q196" t="b">
        <v>0</v>
      </c>
      <c r="R196" t="s">
        <v>148</v>
      </c>
      <c r="S196" t="s">
        <v>2035</v>
      </c>
      <c r="T196" t="s">
        <v>2057</v>
      </c>
    </row>
    <row r="197" spans="1:20" ht="17" hidden="1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>
        <f t="shared" si="9"/>
        <v>362</v>
      </c>
      <c r="G197" t="s">
        <v>20</v>
      </c>
      <c r="H197">
        <v>524</v>
      </c>
      <c r="I197" s="4">
        <f t="shared" si="10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9">
        <f>(((L197/60)/60)/24)+DATE(1970,1,1)</f>
        <v>43310.208333333328</v>
      </c>
      <c r="O197" s="9">
        <f t="shared" si="11"/>
        <v>43317.208333333328</v>
      </c>
      <c r="P197" t="b">
        <v>0</v>
      </c>
      <c r="Q197" t="b">
        <v>0</v>
      </c>
      <c r="R197" t="s">
        <v>50</v>
      </c>
      <c r="S197" t="s">
        <v>2035</v>
      </c>
      <c r="T197" t="s">
        <v>2043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>
        <f t="shared" si="9"/>
        <v>63</v>
      </c>
      <c r="G198" t="s">
        <v>14</v>
      </c>
      <c r="H198">
        <v>100</v>
      </c>
      <c r="I198" s="4">
        <f t="shared" si="10"/>
        <v>51.78</v>
      </c>
      <c r="J198" t="s">
        <v>36</v>
      </c>
      <c r="K198" t="s">
        <v>37</v>
      </c>
      <c r="L198">
        <v>1472878800</v>
      </c>
      <c r="M198">
        <v>1474520400</v>
      </c>
      <c r="N198" s="9">
        <f>(((L198/60)/60)/24)+DATE(1970,1,1)</f>
        <v>42616.208333333328</v>
      </c>
      <c r="O198" s="9">
        <f t="shared" si="11"/>
        <v>42635.208333333328</v>
      </c>
      <c r="P198" t="b">
        <v>0</v>
      </c>
      <c r="Q198" t="b">
        <v>0</v>
      </c>
      <c r="R198" t="s">
        <v>65</v>
      </c>
      <c r="S198" t="s">
        <v>2037</v>
      </c>
      <c r="T198" t="s">
        <v>2046</v>
      </c>
    </row>
    <row r="199" spans="1:20" ht="17" hidden="1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>
        <f t="shared" si="9"/>
        <v>298</v>
      </c>
      <c r="G199" t="s">
        <v>20</v>
      </c>
      <c r="H199">
        <v>1989</v>
      </c>
      <c r="I199" s="4">
        <f t="shared" si="10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9">
        <f>(((L199/60)/60)/24)+DATE(1970,1,1)</f>
        <v>42909.208333333328</v>
      </c>
      <c r="O199" s="9">
        <f t="shared" si="11"/>
        <v>42923.208333333328</v>
      </c>
      <c r="P199" t="b">
        <v>0</v>
      </c>
      <c r="Q199" t="b">
        <v>0</v>
      </c>
      <c r="R199" t="s">
        <v>53</v>
      </c>
      <c r="S199" t="s">
        <v>2041</v>
      </c>
      <c r="T199" t="s">
        <v>2044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>
        <f t="shared" si="9"/>
        <v>10</v>
      </c>
      <c r="G200" t="s">
        <v>14</v>
      </c>
      <c r="H200">
        <v>168</v>
      </c>
      <c r="I200" s="4">
        <f t="shared" si="10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9">
        <f>(((L200/60)/60)/24)+DATE(1970,1,1)</f>
        <v>40396.208333333336</v>
      </c>
      <c r="O200" s="9">
        <f t="shared" si="11"/>
        <v>40425.208333333336</v>
      </c>
      <c r="P200" t="b">
        <v>0</v>
      </c>
      <c r="Q200" t="b">
        <v>0</v>
      </c>
      <c r="R200" t="s">
        <v>50</v>
      </c>
      <c r="S200" t="s">
        <v>2035</v>
      </c>
      <c r="T200" t="s">
        <v>2043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>
        <f t="shared" si="9"/>
        <v>54</v>
      </c>
      <c r="G201" t="s">
        <v>14</v>
      </c>
      <c r="H201">
        <v>13</v>
      </c>
      <c r="I201" s="4">
        <f t="shared" si="10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9">
        <f>(((L201/60)/60)/24)+DATE(1970,1,1)</f>
        <v>42192.208333333328</v>
      </c>
      <c r="O201" s="9">
        <f t="shared" si="11"/>
        <v>42196.208333333328</v>
      </c>
      <c r="P201" t="b">
        <v>0</v>
      </c>
      <c r="Q201" t="b">
        <v>0</v>
      </c>
      <c r="R201" t="s">
        <v>23</v>
      </c>
      <c r="S201" t="s">
        <v>2035</v>
      </c>
      <c r="T201" t="s">
        <v>2036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>
        <f t="shared" si="9"/>
        <v>2</v>
      </c>
      <c r="G202" t="s">
        <v>14</v>
      </c>
      <c r="H202">
        <v>1</v>
      </c>
      <c r="I202" s="4">
        <f t="shared" si="10"/>
        <v>2</v>
      </c>
      <c r="J202" t="s">
        <v>15</v>
      </c>
      <c r="K202" t="s">
        <v>16</v>
      </c>
      <c r="L202">
        <v>1269493200</v>
      </c>
      <c r="M202">
        <v>1270443600</v>
      </c>
      <c r="N202" s="9">
        <f>(((L202/60)/60)/24)+DATE(1970,1,1)</f>
        <v>40262.208333333336</v>
      </c>
      <c r="O202" s="9">
        <f t="shared" si="11"/>
        <v>40273.208333333336</v>
      </c>
      <c r="P202" t="b">
        <v>0</v>
      </c>
      <c r="Q202" t="b">
        <v>0</v>
      </c>
      <c r="R202" t="s">
        <v>33</v>
      </c>
      <c r="S202" t="s">
        <v>2039</v>
      </c>
      <c r="T202" t="s">
        <v>2040</v>
      </c>
    </row>
    <row r="203" spans="1:20" ht="34" hidden="1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>
        <f t="shared" si="9"/>
        <v>681</v>
      </c>
      <c r="G203" t="s">
        <v>20</v>
      </c>
      <c r="H203">
        <v>157</v>
      </c>
      <c r="I203" s="4">
        <f t="shared" si="10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9">
        <f>(((L203/60)/60)/24)+DATE(1970,1,1)</f>
        <v>41845.208333333336</v>
      </c>
      <c r="O203" s="9">
        <f t="shared" si="11"/>
        <v>41863.208333333336</v>
      </c>
      <c r="P203" t="b">
        <v>0</v>
      </c>
      <c r="Q203" t="b">
        <v>0</v>
      </c>
      <c r="R203" t="s">
        <v>28</v>
      </c>
      <c r="S203" t="s">
        <v>2037</v>
      </c>
      <c r="T203" t="s">
        <v>2038</v>
      </c>
    </row>
    <row r="204" spans="1:20" ht="17" hidden="1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>
        <f t="shared" si="9"/>
        <v>79</v>
      </c>
      <c r="G204" t="s">
        <v>74</v>
      </c>
      <c r="H204">
        <v>82</v>
      </c>
      <c r="I204" s="4">
        <f t="shared" si="10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9">
        <f>(((L204/60)/60)/24)+DATE(1970,1,1)</f>
        <v>40818.208333333336</v>
      </c>
      <c r="O204" s="9">
        <f t="shared" si="11"/>
        <v>40822.208333333336</v>
      </c>
      <c r="P204" t="b">
        <v>0</v>
      </c>
      <c r="Q204" t="b">
        <v>0</v>
      </c>
      <c r="R204" t="s">
        <v>17</v>
      </c>
      <c r="S204" t="s">
        <v>2033</v>
      </c>
      <c r="T204" t="s">
        <v>2034</v>
      </c>
    </row>
    <row r="205" spans="1:20" ht="34" hidden="1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>
        <f t="shared" si="9"/>
        <v>134</v>
      </c>
      <c r="G205" t="s">
        <v>20</v>
      </c>
      <c r="H205">
        <v>4498</v>
      </c>
      <c r="I205" s="4">
        <f t="shared" si="10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9">
        <f>(((L205/60)/60)/24)+DATE(1970,1,1)</f>
        <v>42752.25</v>
      </c>
      <c r="O205" s="9">
        <f t="shared" si="11"/>
        <v>42754.25</v>
      </c>
      <c r="P205" t="b">
        <v>0</v>
      </c>
      <c r="Q205" t="b">
        <v>0</v>
      </c>
      <c r="R205" t="s">
        <v>33</v>
      </c>
      <c r="S205" t="s">
        <v>2039</v>
      </c>
      <c r="T205" t="s">
        <v>2040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>
        <f t="shared" si="9"/>
        <v>3</v>
      </c>
      <c r="G206" t="s">
        <v>14</v>
      </c>
      <c r="H206">
        <v>40</v>
      </c>
      <c r="I206" s="4">
        <f t="shared" si="10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9">
        <f>(((L206/60)/60)/24)+DATE(1970,1,1)</f>
        <v>40636.208333333336</v>
      </c>
      <c r="O206" s="9">
        <f t="shared" si="11"/>
        <v>40646.208333333336</v>
      </c>
      <c r="P206" t="b">
        <v>0</v>
      </c>
      <c r="Q206" t="b">
        <v>0</v>
      </c>
      <c r="R206" t="s">
        <v>159</v>
      </c>
      <c r="S206" t="s">
        <v>2035</v>
      </c>
      <c r="T206" t="s">
        <v>2058</v>
      </c>
    </row>
    <row r="207" spans="1:20" ht="17" hidden="1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>
        <f t="shared" si="9"/>
        <v>432</v>
      </c>
      <c r="G207" t="s">
        <v>20</v>
      </c>
      <c r="H207">
        <v>80</v>
      </c>
      <c r="I207" s="4">
        <f t="shared" si="10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9">
        <f>(((L207/60)/60)/24)+DATE(1970,1,1)</f>
        <v>43390.208333333328</v>
      </c>
      <c r="O207" s="9">
        <f t="shared" si="11"/>
        <v>43402.208333333328</v>
      </c>
      <c r="P207" t="b">
        <v>1</v>
      </c>
      <c r="Q207" t="b">
        <v>0</v>
      </c>
      <c r="R207" t="s">
        <v>33</v>
      </c>
      <c r="S207" t="s">
        <v>2039</v>
      </c>
      <c r="T207" t="s">
        <v>2040</v>
      </c>
    </row>
    <row r="208" spans="1:20" ht="17" hidden="1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>
        <f t="shared" si="9"/>
        <v>39</v>
      </c>
      <c r="G208" t="s">
        <v>74</v>
      </c>
      <c r="H208">
        <v>57</v>
      </c>
      <c r="I208" s="4">
        <f t="shared" si="10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9">
        <f>(((L208/60)/60)/24)+DATE(1970,1,1)</f>
        <v>40236.25</v>
      </c>
      <c r="O208" s="9">
        <f t="shared" si="11"/>
        <v>40245.25</v>
      </c>
      <c r="P208" t="b">
        <v>0</v>
      </c>
      <c r="Q208" t="b">
        <v>0</v>
      </c>
      <c r="R208" t="s">
        <v>119</v>
      </c>
      <c r="S208" t="s">
        <v>2047</v>
      </c>
      <c r="T208" t="s">
        <v>2053</v>
      </c>
    </row>
    <row r="209" spans="1:20" ht="34" hidden="1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>
        <f t="shared" si="9"/>
        <v>426</v>
      </c>
      <c r="G209" t="s">
        <v>20</v>
      </c>
      <c r="H209">
        <v>43</v>
      </c>
      <c r="I209" s="4">
        <f t="shared" si="10"/>
        <v>99</v>
      </c>
      <c r="J209" t="s">
        <v>21</v>
      </c>
      <c r="K209" t="s">
        <v>22</v>
      </c>
      <c r="L209">
        <v>1535432400</v>
      </c>
      <c r="M209">
        <v>1537160400</v>
      </c>
      <c r="N209" s="9">
        <f>(((L209/60)/60)/24)+DATE(1970,1,1)</f>
        <v>43340.208333333328</v>
      </c>
      <c r="O209" s="9">
        <f t="shared" si="11"/>
        <v>43360.208333333328</v>
      </c>
      <c r="P209" t="b">
        <v>0</v>
      </c>
      <c r="Q209" t="b">
        <v>1</v>
      </c>
      <c r="R209" t="s">
        <v>23</v>
      </c>
      <c r="S209" t="s">
        <v>2035</v>
      </c>
      <c r="T209" t="s">
        <v>2036</v>
      </c>
    </row>
    <row r="210" spans="1:20" ht="17" hidden="1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>
        <f t="shared" si="9"/>
        <v>101</v>
      </c>
      <c r="G210" t="s">
        <v>20</v>
      </c>
      <c r="H210">
        <v>2053</v>
      </c>
      <c r="I210" s="4">
        <f t="shared" si="10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9">
        <f>(((L210/60)/60)/24)+DATE(1970,1,1)</f>
        <v>43048.25</v>
      </c>
      <c r="O210" s="9">
        <f t="shared" si="11"/>
        <v>43072.25</v>
      </c>
      <c r="P210" t="b">
        <v>0</v>
      </c>
      <c r="Q210" t="b">
        <v>0</v>
      </c>
      <c r="R210" t="s">
        <v>42</v>
      </c>
      <c r="S210" t="s">
        <v>2041</v>
      </c>
      <c r="T210" t="s">
        <v>2042</v>
      </c>
    </row>
    <row r="211" spans="1:20" ht="17" hidden="1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>
        <f t="shared" si="9"/>
        <v>21</v>
      </c>
      <c r="G211" t="s">
        <v>47</v>
      </c>
      <c r="H211">
        <v>808</v>
      </c>
      <c r="I211" s="4">
        <f t="shared" si="10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9">
        <f>(((L211/60)/60)/24)+DATE(1970,1,1)</f>
        <v>42496.208333333328</v>
      </c>
      <c r="O211" s="9">
        <f t="shared" si="11"/>
        <v>42503.208333333328</v>
      </c>
      <c r="P211" t="b">
        <v>0</v>
      </c>
      <c r="Q211" t="b">
        <v>0</v>
      </c>
      <c r="R211" t="s">
        <v>42</v>
      </c>
      <c r="S211" t="s">
        <v>2041</v>
      </c>
      <c r="T211" t="s">
        <v>2042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>
        <f t="shared" si="9"/>
        <v>67</v>
      </c>
      <c r="G212" t="s">
        <v>14</v>
      </c>
      <c r="H212">
        <v>226</v>
      </c>
      <c r="I212" s="4">
        <f t="shared" si="10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9">
        <f>(((L212/60)/60)/24)+DATE(1970,1,1)</f>
        <v>42797.25</v>
      </c>
      <c r="O212" s="9">
        <f t="shared" si="11"/>
        <v>42824.208333333328</v>
      </c>
      <c r="P212" t="b">
        <v>0</v>
      </c>
      <c r="Q212" t="b">
        <v>0</v>
      </c>
      <c r="R212" t="s">
        <v>474</v>
      </c>
      <c r="S212" t="s">
        <v>2041</v>
      </c>
      <c r="T212" t="s">
        <v>2063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>
        <f t="shared" si="9"/>
        <v>95</v>
      </c>
      <c r="G213" t="s">
        <v>14</v>
      </c>
      <c r="H213">
        <v>1625</v>
      </c>
      <c r="I213" s="4">
        <f t="shared" si="10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9">
        <f>(((L213/60)/60)/24)+DATE(1970,1,1)</f>
        <v>41513.208333333336</v>
      </c>
      <c r="O213" s="9">
        <f t="shared" si="11"/>
        <v>41537.208333333336</v>
      </c>
      <c r="P213" t="b">
        <v>0</v>
      </c>
      <c r="Q213" t="b">
        <v>0</v>
      </c>
      <c r="R213" t="s">
        <v>33</v>
      </c>
      <c r="S213" t="s">
        <v>2039</v>
      </c>
      <c r="T213" t="s">
        <v>2040</v>
      </c>
    </row>
    <row r="214" spans="1:20" ht="34" hidden="1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>
        <f t="shared" si="9"/>
        <v>152</v>
      </c>
      <c r="G214" t="s">
        <v>20</v>
      </c>
      <c r="H214">
        <v>168</v>
      </c>
      <c r="I214" s="4">
        <f t="shared" si="10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9">
        <f>(((L214/60)/60)/24)+DATE(1970,1,1)</f>
        <v>43814.25</v>
      </c>
      <c r="O214" s="9">
        <f t="shared" si="11"/>
        <v>43860.25</v>
      </c>
      <c r="P214" t="b">
        <v>0</v>
      </c>
      <c r="Q214" t="b">
        <v>0</v>
      </c>
      <c r="R214" t="s">
        <v>33</v>
      </c>
      <c r="S214" t="s">
        <v>2039</v>
      </c>
      <c r="T214" t="s">
        <v>2040</v>
      </c>
    </row>
    <row r="215" spans="1:20" ht="34" hidden="1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>
        <f t="shared" si="9"/>
        <v>195</v>
      </c>
      <c r="G215" t="s">
        <v>20</v>
      </c>
      <c r="H215">
        <v>4289</v>
      </c>
      <c r="I215" s="4">
        <f t="shared" si="10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9">
        <f>(((L215/60)/60)/24)+DATE(1970,1,1)</f>
        <v>40488.208333333336</v>
      </c>
      <c r="O215" s="9">
        <f t="shared" si="11"/>
        <v>40496.25</v>
      </c>
      <c r="P215" t="b">
        <v>0</v>
      </c>
      <c r="Q215" t="b">
        <v>1</v>
      </c>
      <c r="R215" t="s">
        <v>60</v>
      </c>
      <c r="S215" t="s">
        <v>2035</v>
      </c>
      <c r="T215" t="s">
        <v>2045</v>
      </c>
    </row>
    <row r="216" spans="1:20" ht="17" hidden="1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>
        <f t="shared" si="9"/>
        <v>1023</v>
      </c>
      <c r="G216" t="s">
        <v>20</v>
      </c>
      <c r="H216">
        <v>165</v>
      </c>
      <c r="I216" s="4">
        <f t="shared" si="10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9">
        <f>(((L216/60)/60)/24)+DATE(1970,1,1)</f>
        <v>40409.208333333336</v>
      </c>
      <c r="O216" s="9">
        <f t="shared" si="11"/>
        <v>40415.208333333336</v>
      </c>
      <c r="P216" t="b">
        <v>0</v>
      </c>
      <c r="Q216" t="b">
        <v>0</v>
      </c>
      <c r="R216" t="s">
        <v>23</v>
      </c>
      <c r="S216" t="s">
        <v>2035</v>
      </c>
      <c r="T216" t="s">
        <v>2036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>
        <f t="shared" si="9"/>
        <v>4</v>
      </c>
      <c r="G217" t="s">
        <v>14</v>
      </c>
      <c r="H217">
        <v>143</v>
      </c>
      <c r="I217" s="4">
        <f t="shared" si="10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9">
        <f>(((L217/60)/60)/24)+DATE(1970,1,1)</f>
        <v>43509.25</v>
      </c>
      <c r="O217" s="9">
        <f t="shared" si="11"/>
        <v>43511.25</v>
      </c>
      <c r="P217" t="b">
        <v>0</v>
      </c>
      <c r="Q217" t="b">
        <v>0</v>
      </c>
      <c r="R217" t="s">
        <v>33</v>
      </c>
      <c r="S217" t="s">
        <v>2039</v>
      </c>
      <c r="T217" t="s">
        <v>2040</v>
      </c>
    </row>
    <row r="218" spans="1:20" ht="17" hidden="1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>
        <f t="shared" si="9"/>
        <v>155</v>
      </c>
      <c r="G218" t="s">
        <v>20</v>
      </c>
      <c r="H218">
        <v>1815</v>
      </c>
      <c r="I218" s="4">
        <f t="shared" si="10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9">
        <f>(((L218/60)/60)/24)+DATE(1970,1,1)</f>
        <v>40869.25</v>
      </c>
      <c r="O218" s="9">
        <f t="shared" si="11"/>
        <v>40871.25</v>
      </c>
      <c r="P218" t="b">
        <v>0</v>
      </c>
      <c r="Q218" t="b">
        <v>0</v>
      </c>
      <c r="R218" t="s">
        <v>33</v>
      </c>
      <c r="S218" t="s">
        <v>2039</v>
      </c>
      <c r="T218" t="s">
        <v>2040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>
        <f t="shared" si="9"/>
        <v>45</v>
      </c>
      <c r="G219" t="s">
        <v>14</v>
      </c>
      <c r="H219">
        <v>934</v>
      </c>
      <c r="I219" s="4">
        <f t="shared" si="10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9">
        <f>(((L219/60)/60)/24)+DATE(1970,1,1)</f>
        <v>43583.208333333328</v>
      </c>
      <c r="O219" s="9">
        <f t="shared" si="11"/>
        <v>43592.208333333328</v>
      </c>
      <c r="P219" t="b">
        <v>0</v>
      </c>
      <c r="Q219" t="b">
        <v>0</v>
      </c>
      <c r="R219" t="s">
        <v>474</v>
      </c>
      <c r="S219" t="s">
        <v>2041</v>
      </c>
      <c r="T219" t="s">
        <v>2063</v>
      </c>
    </row>
    <row r="220" spans="1:20" ht="17" hidden="1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>
        <f t="shared" si="9"/>
        <v>216</v>
      </c>
      <c r="G220" t="s">
        <v>20</v>
      </c>
      <c r="H220">
        <v>397</v>
      </c>
      <c r="I220" s="4">
        <f t="shared" si="10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9">
        <f>(((L220/60)/60)/24)+DATE(1970,1,1)</f>
        <v>40858.25</v>
      </c>
      <c r="O220" s="9">
        <f t="shared" si="11"/>
        <v>40892.25</v>
      </c>
      <c r="P220" t="b">
        <v>0</v>
      </c>
      <c r="Q220" t="b">
        <v>1</v>
      </c>
      <c r="R220" t="s">
        <v>100</v>
      </c>
      <c r="S220" t="s">
        <v>2041</v>
      </c>
      <c r="T220" t="s">
        <v>2052</v>
      </c>
    </row>
    <row r="221" spans="1:20" ht="17" hidden="1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>
        <f t="shared" si="9"/>
        <v>332</v>
      </c>
      <c r="G221" t="s">
        <v>20</v>
      </c>
      <c r="H221">
        <v>1539</v>
      </c>
      <c r="I221" s="4">
        <f t="shared" si="10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9">
        <f>(((L221/60)/60)/24)+DATE(1970,1,1)</f>
        <v>41137.208333333336</v>
      </c>
      <c r="O221" s="9">
        <f t="shared" si="11"/>
        <v>41149.208333333336</v>
      </c>
      <c r="P221" t="b">
        <v>0</v>
      </c>
      <c r="Q221" t="b">
        <v>0</v>
      </c>
      <c r="R221" t="s">
        <v>71</v>
      </c>
      <c r="S221" t="s">
        <v>2041</v>
      </c>
      <c r="T221" t="s">
        <v>2049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>
        <f t="shared" si="9"/>
        <v>8</v>
      </c>
      <c r="G222" t="s">
        <v>14</v>
      </c>
      <c r="H222">
        <v>17</v>
      </c>
      <c r="I222" s="4">
        <f t="shared" si="10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9">
        <f>(((L222/60)/60)/24)+DATE(1970,1,1)</f>
        <v>40725.208333333336</v>
      </c>
      <c r="O222" s="9">
        <f t="shared" si="11"/>
        <v>40743.208333333336</v>
      </c>
      <c r="P222" t="b">
        <v>1</v>
      </c>
      <c r="Q222" t="b">
        <v>0</v>
      </c>
      <c r="R222" t="s">
        <v>33</v>
      </c>
      <c r="S222" t="s">
        <v>2039</v>
      </c>
      <c r="T222" t="s">
        <v>2040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>
        <f t="shared" si="9"/>
        <v>99</v>
      </c>
      <c r="G223" t="s">
        <v>14</v>
      </c>
      <c r="H223">
        <v>2179</v>
      </c>
      <c r="I223" s="4">
        <f t="shared" si="10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9">
        <f>(((L223/60)/60)/24)+DATE(1970,1,1)</f>
        <v>41081.208333333336</v>
      </c>
      <c r="O223" s="9">
        <f t="shared" si="11"/>
        <v>41083.208333333336</v>
      </c>
      <c r="P223" t="b">
        <v>1</v>
      </c>
      <c r="Q223" t="b">
        <v>0</v>
      </c>
      <c r="R223" t="s">
        <v>17</v>
      </c>
      <c r="S223" t="s">
        <v>2033</v>
      </c>
      <c r="T223" t="s">
        <v>2034</v>
      </c>
    </row>
    <row r="224" spans="1:20" ht="17" hidden="1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>
        <f t="shared" si="9"/>
        <v>138</v>
      </c>
      <c r="G224" t="s">
        <v>20</v>
      </c>
      <c r="H224">
        <v>138</v>
      </c>
      <c r="I224" s="4">
        <f t="shared" si="10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9">
        <f>(((L224/60)/60)/24)+DATE(1970,1,1)</f>
        <v>41914.208333333336</v>
      </c>
      <c r="O224" s="9">
        <f t="shared" si="11"/>
        <v>41915.208333333336</v>
      </c>
      <c r="P224" t="b">
        <v>0</v>
      </c>
      <c r="Q224" t="b">
        <v>0</v>
      </c>
      <c r="R224" t="s">
        <v>122</v>
      </c>
      <c r="S224" t="s">
        <v>2054</v>
      </c>
      <c r="T224" t="s">
        <v>2055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>
        <f t="shared" si="9"/>
        <v>94</v>
      </c>
      <c r="G225" t="s">
        <v>14</v>
      </c>
      <c r="H225">
        <v>931</v>
      </c>
      <c r="I225" s="4">
        <f t="shared" si="10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9">
        <f>(((L225/60)/60)/24)+DATE(1970,1,1)</f>
        <v>42445.208333333328</v>
      </c>
      <c r="O225" s="9">
        <f t="shared" si="11"/>
        <v>42459.208333333328</v>
      </c>
      <c r="P225" t="b">
        <v>0</v>
      </c>
      <c r="Q225" t="b">
        <v>0</v>
      </c>
      <c r="R225" t="s">
        <v>33</v>
      </c>
      <c r="S225" t="s">
        <v>2039</v>
      </c>
      <c r="T225" t="s">
        <v>2040</v>
      </c>
    </row>
    <row r="226" spans="1:20" ht="17" hidden="1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>
        <f t="shared" si="9"/>
        <v>404</v>
      </c>
      <c r="G226" t="s">
        <v>20</v>
      </c>
      <c r="H226">
        <v>3594</v>
      </c>
      <c r="I226" s="4">
        <f t="shared" si="10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9">
        <f>(((L226/60)/60)/24)+DATE(1970,1,1)</f>
        <v>41906.208333333336</v>
      </c>
      <c r="O226" s="9">
        <f t="shared" si="11"/>
        <v>41951.25</v>
      </c>
      <c r="P226" t="b">
        <v>0</v>
      </c>
      <c r="Q226" t="b">
        <v>0</v>
      </c>
      <c r="R226" t="s">
        <v>474</v>
      </c>
      <c r="S226" t="s">
        <v>2041</v>
      </c>
      <c r="T226" t="s">
        <v>2063</v>
      </c>
    </row>
    <row r="227" spans="1:20" ht="17" hidden="1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>
        <f t="shared" si="9"/>
        <v>260</v>
      </c>
      <c r="G227" t="s">
        <v>20</v>
      </c>
      <c r="H227">
        <v>5880</v>
      </c>
      <c r="I227" s="4">
        <f t="shared" si="10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9">
        <f>(((L227/60)/60)/24)+DATE(1970,1,1)</f>
        <v>41762.208333333336</v>
      </c>
      <c r="O227" s="9">
        <f t="shared" si="11"/>
        <v>41762.208333333336</v>
      </c>
      <c r="P227" t="b">
        <v>1</v>
      </c>
      <c r="Q227" t="b">
        <v>0</v>
      </c>
      <c r="R227" t="s">
        <v>23</v>
      </c>
      <c r="S227" t="s">
        <v>2035</v>
      </c>
      <c r="T227" t="s">
        <v>2036</v>
      </c>
    </row>
    <row r="228" spans="1:20" ht="17" hidden="1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>
        <f t="shared" si="9"/>
        <v>367</v>
      </c>
      <c r="G228" t="s">
        <v>20</v>
      </c>
      <c r="H228">
        <v>112</v>
      </c>
      <c r="I228" s="4">
        <f t="shared" si="10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9">
        <f>(((L228/60)/60)/24)+DATE(1970,1,1)</f>
        <v>40276.208333333336</v>
      </c>
      <c r="O228" s="9">
        <f t="shared" si="11"/>
        <v>40313.208333333336</v>
      </c>
      <c r="P228" t="b">
        <v>0</v>
      </c>
      <c r="Q228" t="b">
        <v>0</v>
      </c>
      <c r="R228" t="s">
        <v>122</v>
      </c>
      <c r="S228" t="s">
        <v>2054</v>
      </c>
      <c r="T228" t="s">
        <v>2055</v>
      </c>
    </row>
    <row r="229" spans="1:20" ht="17" hidden="1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>
        <f t="shared" si="9"/>
        <v>169</v>
      </c>
      <c r="G229" t="s">
        <v>20</v>
      </c>
      <c r="H229">
        <v>943</v>
      </c>
      <c r="I229" s="4">
        <f t="shared" si="10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9">
        <f>(((L229/60)/60)/24)+DATE(1970,1,1)</f>
        <v>42139.208333333328</v>
      </c>
      <c r="O229" s="9">
        <f t="shared" si="11"/>
        <v>42145.208333333328</v>
      </c>
      <c r="P229" t="b">
        <v>0</v>
      </c>
      <c r="Q229" t="b">
        <v>0</v>
      </c>
      <c r="R229" t="s">
        <v>292</v>
      </c>
      <c r="S229" t="s">
        <v>2050</v>
      </c>
      <c r="T229" t="s">
        <v>2061</v>
      </c>
    </row>
    <row r="230" spans="1:20" ht="17" hidden="1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>
        <f t="shared" si="9"/>
        <v>120</v>
      </c>
      <c r="G230" t="s">
        <v>20</v>
      </c>
      <c r="H230">
        <v>2468</v>
      </c>
      <c r="I230" s="4">
        <f t="shared" si="10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9">
        <f>(((L230/60)/60)/24)+DATE(1970,1,1)</f>
        <v>42613.208333333328</v>
      </c>
      <c r="O230" s="9">
        <f t="shared" si="11"/>
        <v>42638.208333333328</v>
      </c>
      <c r="P230" t="b">
        <v>0</v>
      </c>
      <c r="Q230" t="b">
        <v>0</v>
      </c>
      <c r="R230" t="s">
        <v>71</v>
      </c>
      <c r="S230" t="s">
        <v>2041</v>
      </c>
      <c r="T230" t="s">
        <v>2049</v>
      </c>
    </row>
    <row r="231" spans="1:20" ht="17" hidden="1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>
        <f t="shared" si="9"/>
        <v>194</v>
      </c>
      <c r="G231" t="s">
        <v>20</v>
      </c>
      <c r="H231">
        <v>2551</v>
      </c>
      <c r="I231" s="4">
        <f t="shared" si="10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9">
        <f>(((L231/60)/60)/24)+DATE(1970,1,1)</f>
        <v>42887.208333333328</v>
      </c>
      <c r="O231" s="9">
        <f t="shared" si="11"/>
        <v>42935.208333333328</v>
      </c>
      <c r="P231" t="b">
        <v>0</v>
      </c>
      <c r="Q231" t="b">
        <v>1</v>
      </c>
      <c r="R231" t="s">
        <v>292</v>
      </c>
      <c r="S231" t="s">
        <v>2050</v>
      </c>
      <c r="T231" t="s">
        <v>2061</v>
      </c>
    </row>
    <row r="232" spans="1:20" ht="17" hidden="1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>
        <f t="shared" si="9"/>
        <v>420</v>
      </c>
      <c r="G232" t="s">
        <v>20</v>
      </c>
      <c r="H232">
        <v>101</v>
      </c>
      <c r="I232" s="4">
        <f t="shared" si="10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9">
        <f>(((L232/60)/60)/24)+DATE(1970,1,1)</f>
        <v>43805.25</v>
      </c>
      <c r="O232" s="9">
        <f t="shared" si="11"/>
        <v>43805.25</v>
      </c>
      <c r="P232" t="b">
        <v>0</v>
      </c>
      <c r="Q232" t="b">
        <v>0</v>
      </c>
      <c r="R232" t="s">
        <v>89</v>
      </c>
      <c r="S232" t="s">
        <v>2050</v>
      </c>
      <c r="T232" t="s">
        <v>2051</v>
      </c>
    </row>
    <row r="233" spans="1:20" ht="17" hidden="1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>
        <f t="shared" si="9"/>
        <v>77</v>
      </c>
      <c r="G233" t="s">
        <v>74</v>
      </c>
      <c r="H233">
        <v>67</v>
      </c>
      <c r="I233" s="4">
        <f t="shared" si="10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9">
        <f>(((L233/60)/60)/24)+DATE(1970,1,1)</f>
        <v>41415.208333333336</v>
      </c>
      <c r="O233" s="9">
        <f t="shared" si="11"/>
        <v>41473.208333333336</v>
      </c>
      <c r="P233" t="b">
        <v>0</v>
      </c>
      <c r="Q233" t="b">
        <v>0</v>
      </c>
      <c r="R233" t="s">
        <v>33</v>
      </c>
      <c r="S233" t="s">
        <v>2039</v>
      </c>
      <c r="T233" t="s">
        <v>2040</v>
      </c>
    </row>
    <row r="234" spans="1:20" ht="17" hidden="1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>
        <f t="shared" si="9"/>
        <v>171</v>
      </c>
      <c r="G234" t="s">
        <v>20</v>
      </c>
      <c r="H234">
        <v>92</v>
      </c>
      <c r="I234" s="4">
        <f t="shared" si="10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9">
        <f>(((L234/60)/60)/24)+DATE(1970,1,1)</f>
        <v>42576.208333333328</v>
      </c>
      <c r="O234" s="9">
        <f t="shared" si="11"/>
        <v>42577.208333333328</v>
      </c>
      <c r="P234" t="b">
        <v>0</v>
      </c>
      <c r="Q234" t="b">
        <v>0</v>
      </c>
      <c r="R234" t="s">
        <v>33</v>
      </c>
      <c r="S234" t="s">
        <v>2039</v>
      </c>
      <c r="T234" t="s">
        <v>2040</v>
      </c>
    </row>
    <row r="235" spans="1:20" ht="17" hidden="1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>
        <f t="shared" si="9"/>
        <v>158</v>
      </c>
      <c r="G235" t="s">
        <v>20</v>
      </c>
      <c r="H235">
        <v>62</v>
      </c>
      <c r="I235" s="4">
        <f t="shared" si="10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9">
        <f>(((L235/60)/60)/24)+DATE(1970,1,1)</f>
        <v>40706.208333333336</v>
      </c>
      <c r="O235" s="9">
        <f t="shared" si="11"/>
        <v>40722.208333333336</v>
      </c>
      <c r="P235" t="b">
        <v>0</v>
      </c>
      <c r="Q235" t="b">
        <v>0</v>
      </c>
      <c r="R235" t="s">
        <v>71</v>
      </c>
      <c r="S235" t="s">
        <v>2041</v>
      </c>
      <c r="T235" t="s">
        <v>2049</v>
      </c>
    </row>
    <row r="236" spans="1:20" ht="17" hidden="1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>
        <f t="shared" si="9"/>
        <v>109</v>
      </c>
      <c r="G236" t="s">
        <v>20</v>
      </c>
      <c r="H236">
        <v>149</v>
      </c>
      <c r="I236" s="4">
        <f t="shared" si="10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9">
        <f>(((L236/60)/60)/24)+DATE(1970,1,1)</f>
        <v>42969.208333333328</v>
      </c>
      <c r="O236" s="9">
        <f t="shared" si="11"/>
        <v>42976.208333333328</v>
      </c>
      <c r="P236" t="b">
        <v>0</v>
      </c>
      <c r="Q236" t="b">
        <v>1</v>
      </c>
      <c r="R236" t="s">
        <v>89</v>
      </c>
      <c r="S236" t="s">
        <v>2050</v>
      </c>
      <c r="T236" t="s">
        <v>2051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>
        <f t="shared" si="9"/>
        <v>42</v>
      </c>
      <c r="G237" t="s">
        <v>14</v>
      </c>
      <c r="H237">
        <v>92</v>
      </c>
      <c r="I237" s="4">
        <f t="shared" si="10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9">
        <f>(((L237/60)/60)/24)+DATE(1970,1,1)</f>
        <v>42779.25</v>
      </c>
      <c r="O237" s="9">
        <f t="shared" si="11"/>
        <v>42784.25</v>
      </c>
      <c r="P237" t="b">
        <v>0</v>
      </c>
      <c r="Q237" t="b">
        <v>0</v>
      </c>
      <c r="R237" t="s">
        <v>71</v>
      </c>
      <c r="S237" t="s">
        <v>2041</v>
      </c>
      <c r="T237" t="s">
        <v>2049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>
        <f t="shared" si="9"/>
        <v>11</v>
      </c>
      <c r="G238" t="s">
        <v>14</v>
      </c>
      <c r="H238">
        <v>57</v>
      </c>
      <c r="I238" s="4">
        <f t="shared" si="10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9">
        <f>(((L238/60)/60)/24)+DATE(1970,1,1)</f>
        <v>43641.208333333328</v>
      </c>
      <c r="O238" s="9">
        <f t="shared" si="11"/>
        <v>43648.208333333328</v>
      </c>
      <c r="P238" t="b">
        <v>0</v>
      </c>
      <c r="Q238" t="b">
        <v>1</v>
      </c>
      <c r="R238" t="s">
        <v>23</v>
      </c>
      <c r="S238" t="s">
        <v>2035</v>
      </c>
      <c r="T238" t="s">
        <v>2036</v>
      </c>
    </row>
    <row r="239" spans="1:20" ht="34" hidden="1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>
        <f t="shared" si="9"/>
        <v>159</v>
      </c>
      <c r="G239" t="s">
        <v>20</v>
      </c>
      <c r="H239">
        <v>329</v>
      </c>
      <c r="I239" s="4">
        <f t="shared" si="10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9">
        <f>(((L239/60)/60)/24)+DATE(1970,1,1)</f>
        <v>41754.208333333336</v>
      </c>
      <c r="O239" s="9">
        <f t="shared" si="11"/>
        <v>41756.208333333336</v>
      </c>
      <c r="P239" t="b">
        <v>0</v>
      </c>
      <c r="Q239" t="b">
        <v>0</v>
      </c>
      <c r="R239" t="s">
        <v>71</v>
      </c>
      <c r="S239" t="s">
        <v>2041</v>
      </c>
      <c r="T239" t="s">
        <v>2049</v>
      </c>
    </row>
    <row r="240" spans="1:20" ht="17" hidden="1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>
        <f t="shared" si="9"/>
        <v>422</v>
      </c>
      <c r="G240" t="s">
        <v>20</v>
      </c>
      <c r="H240">
        <v>97</v>
      </c>
      <c r="I240" s="4">
        <f t="shared" si="10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9">
        <f>(((L240/60)/60)/24)+DATE(1970,1,1)</f>
        <v>43083.25</v>
      </c>
      <c r="O240" s="9">
        <f t="shared" si="11"/>
        <v>43108.25</v>
      </c>
      <c r="P240" t="b">
        <v>0</v>
      </c>
      <c r="Q240" t="b">
        <v>1</v>
      </c>
      <c r="R240" t="s">
        <v>33</v>
      </c>
      <c r="S240" t="s">
        <v>2039</v>
      </c>
      <c r="T240" t="s">
        <v>2040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>
        <f t="shared" si="9"/>
        <v>98</v>
      </c>
      <c r="G241" t="s">
        <v>14</v>
      </c>
      <c r="H241">
        <v>41</v>
      </c>
      <c r="I241" s="4">
        <f t="shared" si="10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9">
        <f>(((L241/60)/60)/24)+DATE(1970,1,1)</f>
        <v>42245.208333333328</v>
      </c>
      <c r="O241" s="9">
        <f t="shared" si="11"/>
        <v>42249.208333333328</v>
      </c>
      <c r="P241" t="b">
        <v>0</v>
      </c>
      <c r="Q241" t="b">
        <v>0</v>
      </c>
      <c r="R241" t="s">
        <v>65</v>
      </c>
      <c r="S241" t="s">
        <v>2037</v>
      </c>
      <c r="T241" t="s">
        <v>2046</v>
      </c>
    </row>
    <row r="242" spans="1:20" ht="17" hidden="1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>
        <f t="shared" si="9"/>
        <v>419</v>
      </c>
      <c r="G242" t="s">
        <v>20</v>
      </c>
      <c r="H242">
        <v>1784</v>
      </c>
      <c r="I242" s="4">
        <f t="shared" si="10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9">
        <f>(((L242/60)/60)/24)+DATE(1970,1,1)</f>
        <v>40396.208333333336</v>
      </c>
      <c r="O242" s="9">
        <f t="shared" si="11"/>
        <v>40397.208333333336</v>
      </c>
      <c r="P242" t="b">
        <v>0</v>
      </c>
      <c r="Q242" t="b">
        <v>0</v>
      </c>
      <c r="R242" t="s">
        <v>33</v>
      </c>
      <c r="S242" t="s">
        <v>2039</v>
      </c>
      <c r="T242" t="s">
        <v>2040</v>
      </c>
    </row>
    <row r="243" spans="1:20" ht="17" hidden="1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>
        <f t="shared" si="9"/>
        <v>102</v>
      </c>
      <c r="G243" t="s">
        <v>20</v>
      </c>
      <c r="H243">
        <v>1684</v>
      </c>
      <c r="I243" s="4">
        <f t="shared" si="10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9">
        <f>(((L243/60)/60)/24)+DATE(1970,1,1)</f>
        <v>41742.208333333336</v>
      </c>
      <c r="O243" s="9">
        <f t="shared" si="11"/>
        <v>41752.208333333336</v>
      </c>
      <c r="P243" t="b">
        <v>0</v>
      </c>
      <c r="Q243" t="b">
        <v>1</v>
      </c>
      <c r="R243" t="s">
        <v>68</v>
      </c>
      <c r="S243" t="s">
        <v>2047</v>
      </c>
      <c r="T243" t="s">
        <v>2048</v>
      </c>
    </row>
    <row r="244" spans="1:20" ht="17" hidden="1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>
        <f t="shared" si="9"/>
        <v>128</v>
      </c>
      <c r="G244" t="s">
        <v>20</v>
      </c>
      <c r="H244">
        <v>250</v>
      </c>
      <c r="I244" s="4">
        <f t="shared" si="10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9">
        <f>(((L244/60)/60)/24)+DATE(1970,1,1)</f>
        <v>42865.208333333328</v>
      </c>
      <c r="O244" s="9">
        <f t="shared" si="11"/>
        <v>42875.208333333328</v>
      </c>
      <c r="P244" t="b">
        <v>0</v>
      </c>
      <c r="Q244" t="b">
        <v>1</v>
      </c>
      <c r="R244" t="s">
        <v>23</v>
      </c>
      <c r="S244" t="s">
        <v>2035</v>
      </c>
      <c r="T244" t="s">
        <v>2036</v>
      </c>
    </row>
    <row r="245" spans="1:20" ht="34" hidden="1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>
        <f t="shared" si="9"/>
        <v>445</v>
      </c>
      <c r="G245" t="s">
        <v>20</v>
      </c>
      <c r="H245">
        <v>238</v>
      </c>
      <c r="I245" s="4">
        <f t="shared" si="10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9">
        <f>(((L245/60)/60)/24)+DATE(1970,1,1)</f>
        <v>43163.25</v>
      </c>
      <c r="O245" s="9">
        <f t="shared" si="11"/>
        <v>43166.25</v>
      </c>
      <c r="P245" t="b">
        <v>0</v>
      </c>
      <c r="Q245" t="b">
        <v>0</v>
      </c>
      <c r="R245" t="s">
        <v>33</v>
      </c>
      <c r="S245" t="s">
        <v>2039</v>
      </c>
      <c r="T245" t="s">
        <v>2040</v>
      </c>
    </row>
    <row r="246" spans="1:20" ht="34" hidden="1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>
        <f t="shared" si="9"/>
        <v>570</v>
      </c>
      <c r="G246" t="s">
        <v>20</v>
      </c>
      <c r="H246">
        <v>53</v>
      </c>
      <c r="I246" s="4">
        <f t="shared" si="10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9">
        <f>(((L246/60)/60)/24)+DATE(1970,1,1)</f>
        <v>41834.208333333336</v>
      </c>
      <c r="O246" s="9">
        <f t="shared" si="11"/>
        <v>41886.208333333336</v>
      </c>
      <c r="P246" t="b">
        <v>0</v>
      </c>
      <c r="Q246" t="b">
        <v>0</v>
      </c>
      <c r="R246" t="s">
        <v>33</v>
      </c>
      <c r="S246" t="s">
        <v>2039</v>
      </c>
      <c r="T246" t="s">
        <v>2040</v>
      </c>
    </row>
    <row r="247" spans="1:20" ht="17" hidden="1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>
        <f t="shared" si="9"/>
        <v>509</v>
      </c>
      <c r="G247" t="s">
        <v>20</v>
      </c>
      <c r="H247">
        <v>214</v>
      </c>
      <c r="I247" s="4">
        <f t="shared" si="10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9">
        <f>(((L247/60)/60)/24)+DATE(1970,1,1)</f>
        <v>41736.208333333336</v>
      </c>
      <c r="O247" s="9">
        <f t="shared" si="11"/>
        <v>41737.208333333336</v>
      </c>
      <c r="P247" t="b">
        <v>0</v>
      </c>
      <c r="Q247" t="b">
        <v>0</v>
      </c>
      <c r="R247" t="s">
        <v>33</v>
      </c>
      <c r="S247" t="s">
        <v>2039</v>
      </c>
      <c r="T247" t="s">
        <v>2040</v>
      </c>
    </row>
    <row r="248" spans="1:20" ht="17" hidden="1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>
        <f t="shared" si="9"/>
        <v>326</v>
      </c>
      <c r="G248" t="s">
        <v>20</v>
      </c>
      <c r="H248">
        <v>222</v>
      </c>
      <c r="I248" s="4">
        <f t="shared" si="10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9">
        <f>(((L248/60)/60)/24)+DATE(1970,1,1)</f>
        <v>41491.208333333336</v>
      </c>
      <c r="O248" s="9">
        <f t="shared" si="11"/>
        <v>41495.208333333336</v>
      </c>
      <c r="P248" t="b">
        <v>0</v>
      </c>
      <c r="Q248" t="b">
        <v>0</v>
      </c>
      <c r="R248" t="s">
        <v>28</v>
      </c>
      <c r="S248" t="s">
        <v>2037</v>
      </c>
      <c r="T248" t="s">
        <v>2038</v>
      </c>
    </row>
    <row r="249" spans="1:20" ht="17" hidden="1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>
        <f t="shared" si="9"/>
        <v>933</v>
      </c>
      <c r="G249" t="s">
        <v>20</v>
      </c>
      <c r="H249">
        <v>1884</v>
      </c>
      <c r="I249" s="4">
        <f t="shared" si="10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9">
        <f>(((L249/60)/60)/24)+DATE(1970,1,1)</f>
        <v>42726.25</v>
      </c>
      <c r="O249" s="9">
        <f t="shared" si="11"/>
        <v>42741.25</v>
      </c>
      <c r="P249" t="b">
        <v>0</v>
      </c>
      <c r="Q249" t="b">
        <v>1</v>
      </c>
      <c r="R249" t="s">
        <v>119</v>
      </c>
      <c r="S249" t="s">
        <v>2047</v>
      </c>
      <c r="T249" t="s">
        <v>2053</v>
      </c>
    </row>
    <row r="250" spans="1:20" ht="17" hidden="1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>
        <f t="shared" si="9"/>
        <v>211</v>
      </c>
      <c r="G250" t="s">
        <v>20</v>
      </c>
      <c r="H250">
        <v>218</v>
      </c>
      <c r="I250" s="4">
        <f t="shared" si="10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9">
        <f>(((L250/60)/60)/24)+DATE(1970,1,1)</f>
        <v>42004.25</v>
      </c>
      <c r="O250" s="9">
        <f t="shared" si="11"/>
        <v>42009.25</v>
      </c>
      <c r="P250" t="b">
        <v>0</v>
      </c>
      <c r="Q250" t="b">
        <v>0</v>
      </c>
      <c r="R250" t="s">
        <v>292</v>
      </c>
      <c r="S250" t="s">
        <v>2050</v>
      </c>
      <c r="T250" t="s">
        <v>2061</v>
      </c>
    </row>
    <row r="251" spans="1:20" ht="17" hidden="1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>
        <f t="shared" si="9"/>
        <v>273</v>
      </c>
      <c r="G251" t="s">
        <v>20</v>
      </c>
      <c r="H251">
        <v>6465</v>
      </c>
      <c r="I251" s="4">
        <f t="shared" si="10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9">
        <f>(((L251/60)/60)/24)+DATE(1970,1,1)</f>
        <v>42006.25</v>
      </c>
      <c r="O251" s="9">
        <f t="shared" si="11"/>
        <v>42013.25</v>
      </c>
      <c r="P251" t="b">
        <v>0</v>
      </c>
      <c r="Q251" t="b">
        <v>0</v>
      </c>
      <c r="R251" t="s">
        <v>206</v>
      </c>
      <c r="S251" t="s">
        <v>2047</v>
      </c>
      <c r="T251" t="s">
        <v>2059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>
        <f t="shared" si="9"/>
        <v>3</v>
      </c>
      <c r="G252" t="s">
        <v>14</v>
      </c>
      <c r="H252">
        <v>1</v>
      </c>
      <c r="I252" s="4">
        <f t="shared" si="10"/>
        <v>3</v>
      </c>
      <c r="J252" t="s">
        <v>21</v>
      </c>
      <c r="K252" t="s">
        <v>22</v>
      </c>
      <c r="L252">
        <v>1264399200</v>
      </c>
      <c r="M252">
        <v>1267423200</v>
      </c>
      <c r="N252" s="9">
        <f>(((L252/60)/60)/24)+DATE(1970,1,1)</f>
        <v>40203.25</v>
      </c>
      <c r="O252" s="9">
        <f t="shared" si="11"/>
        <v>40238.25</v>
      </c>
      <c r="P252" t="b">
        <v>0</v>
      </c>
      <c r="Q252" t="b">
        <v>0</v>
      </c>
      <c r="R252" t="s">
        <v>23</v>
      </c>
      <c r="S252" t="s">
        <v>2035</v>
      </c>
      <c r="T252" t="s">
        <v>2036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>
        <f t="shared" si="9"/>
        <v>54</v>
      </c>
      <c r="G253" t="s">
        <v>14</v>
      </c>
      <c r="H253">
        <v>101</v>
      </c>
      <c r="I253" s="4">
        <f t="shared" si="10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9">
        <f>(((L253/60)/60)/24)+DATE(1970,1,1)</f>
        <v>41252.25</v>
      </c>
      <c r="O253" s="9">
        <f t="shared" si="11"/>
        <v>41254.25</v>
      </c>
      <c r="P253" t="b">
        <v>0</v>
      </c>
      <c r="Q253" t="b">
        <v>0</v>
      </c>
      <c r="R253" t="s">
        <v>33</v>
      </c>
      <c r="S253" t="s">
        <v>2039</v>
      </c>
      <c r="T253" t="s">
        <v>2040</v>
      </c>
    </row>
    <row r="254" spans="1:20" ht="34" hidden="1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>
        <f t="shared" si="9"/>
        <v>626</v>
      </c>
      <c r="G254" t="s">
        <v>20</v>
      </c>
      <c r="H254">
        <v>59</v>
      </c>
      <c r="I254" s="4">
        <f t="shared" si="10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9">
        <f>(((L254/60)/60)/24)+DATE(1970,1,1)</f>
        <v>41572.208333333336</v>
      </c>
      <c r="O254" s="9">
        <f t="shared" si="11"/>
        <v>41577.208333333336</v>
      </c>
      <c r="P254" t="b">
        <v>0</v>
      </c>
      <c r="Q254" t="b">
        <v>0</v>
      </c>
      <c r="R254" t="s">
        <v>33</v>
      </c>
      <c r="S254" t="s">
        <v>2039</v>
      </c>
      <c r="T254" t="s">
        <v>2040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>
        <f t="shared" si="9"/>
        <v>89</v>
      </c>
      <c r="G255" t="s">
        <v>14</v>
      </c>
      <c r="H255">
        <v>1335</v>
      </c>
      <c r="I255" s="4">
        <f t="shared" si="10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9">
        <f>(((L255/60)/60)/24)+DATE(1970,1,1)</f>
        <v>40641.208333333336</v>
      </c>
      <c r="O255" s="9">
        <f t="shared" si="11"/>
        <v>40653.208333333336</v>
      </c>
      <c r="P255" t="b">
        <v>0</v>
      </c>
      <c r="Q255" t="b">
        <v>0</v>
      </c>
      <c r="R255" t="s">
        <v>53</v>
      </c>
      <c r="S255" t="s">
        <v>2041</v>
      </c>
      <c r="T255" t="s">
        <v>2044</v>
      </c>
    </row>
    <row r="256" spans="1:20" ht="34" hidden="1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>
        <f t="shared" si="9"/>
        <v>185</v>
      </c>
      <c r="G256" t="s">
        <v>20</v>
      </c>
      <c r="H256">
        <v>88</v>
      </c>
      <c r="I256" s="4">
        <f t="shared" si="10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9">
        <f>(((L256/60)/60)/24)+DATE(1970,1,1)</f>
        <v>42787.25</v>
      </c>
      <c r="O256" s="9">
        <f t="shared" si="11"/>
        <v>42789.25</v>
      </c>
      <c r="P256" t="b">
        <v>0</v>
      </c>
      <c r="Q256" t="b">
        <v>0</v>
      </c>
      <c r="R256" t="s">
        <v>68</v>
      </c>
      <c r="S256" t="s">
        <v>2047</v>
      </c>
      <c r="T256" t="s">
        <v>2048</v>
      </c>
    </row>
    <row r="257" spans="1:20" ht="34" hidden="1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>
        <f t="shared" si="9"/>
        <v>120</v>
      </c>
      <c r="G257" t="s">
        <v>20</v>
      </c>
      <c r="H257">
        <v>1697</v>
      </c>
      <c r="I257" s="4">
        <f t="shared" si="10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9">
        <f>(((L257/60)/60)/24)+DATE(1970,1,1)</f>
        <v>40590.25</v>
      </c>
      <c r="O257" s="9">
        <f t="shared" si="11"/>
        <v>40595.25</v>
      </c>
      <c r="P257" t="b">
        <v>0</v>
      </c>
      <c r="Q257" t="b">
        <v>1</v>
      </c>
      <c r="R257" t="s">
        <v>23</v>
      </c>
      <c r="S257" t="s">
        <v>2035</v>
      </c>
      <c r="T257" t="s">
        <v>2036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>
        <f t="shared" si="9"/>
        <v>23</v>
      </c>
      <c r="G258" t="s">
        <v>14</v>
      </c>
      <c r="H258">
        <v>15</v>
      </c>
      <c r="I258" s="4">
        <f t="shared" si="10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9">
        <f>(((L258/60)/60)/24)+DATE(1970,1,1)</f>
        <v>42393.25</v>
      </c>
      <c r="O258" s="9">
        <f t="shared" si="11"/>
        <v>42430.25</v>
      </c>
      <c r="P258" t="b">
        <v>0</v>
      </c>
      <c r="Q258" t="b">
        <v>0</v>
      </c>
      <c r="R258" t="s">
        <v>23</v>
      </c>
      <c r="S258" t="s">
        <v>2035</v>
      </c>
      <c r="T258" t="s">
        <v>2036</v>
      </c>
    </row>
    <row r="259" spans="1:20" ht="17" hidden="1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>
        <f t="shared" ref="F259:F322" si="12">ROUND(E259/D259*100,0)</f>
        <v>146</v>
      </c>
      <c r="G259" t="s">
        <v>20</v>
      </c>
      <c r="H259">
        <v>92</v>
      </c>
      <c r="I259" s="4">
        <f t="shared" ref="I259:I322" si="13">AVERAGE(E259/H259)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9">
        <f>(((L259/60)/60)/24)+DATE(1970,1,1)</f>
        <v>41338.25</v>
      </c>
      <c r="O259" s="9">
        <f t="shared" ref="O259:O322" si="14">(((M259/60)/60)/24)+DATE(1970,1,1)</f>
        <v>41352.208333333336</v>
      </c>
      <c r="P259" t="b">
        <v>0</v>
      </c>
      <c r="Q259" t="b">
        <v>0</v>
      </c>
      <c r="R259" t="s">
        <v>33</v>
      </c>
      <c r="S259" t="s">
        <v>2039</v>
      </c>
      <c r="T259" t="s">
        <v>2040</v>
      </c>
    </row>
    <row r="260" spans="1:20" ht="17" hidden="1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>
        <f t="shared" si="12"/>
        <v>268</v>
      </c>
      <c r="G260" t="s">
        <v>20</v>
      </c>
      <c r="H260">
        <v>186</v>
      </c>
      <c r="I260" s="4">
        <f t="shared" si="13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9">
        <f>(((L260/60)/60)/24)+DATE(1970,1,1)</f>
        <v>42712.25</v>
      </c>
      <c r="O260" s="9">
        <f t="shared" si="14"/>
        <v>42732.25</v>
      </c>
      <c r="P260" t="b">
        <v>0</v>
      </c>
      <c r="Q260" t="b">
        <v>1</v>
      </c>
      <c r="R260" t="s">
        <v>33</v>
      </c>
      <c r="S260" t="s">
        <v>2039</v>
      </c>
      <c r="T260" t="s">
        <v>2040</v>
      </c>
    </row>
    <row r="261" spans="1:20" ht="34" hidden="1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>
        <f t="shared" si="12"/>
        <v>598</v>
      </c>
      <c r="G261" t="s">
        <v>20</v>
      </c>
      <c r="H261">
        <v>138</v>
      </c>
      <c r="I261" s="4">
        <f t="shared" si="13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9">
        <f>(((L261/60)/60)/24)+DATE(1970,1,1)</f>
        <v>41251.25</v>
      </c>
      <c r="O261" s="9">
        <f t="shared" si="14"/>
        <v>41270.25</v>
      </c>
      <c r="P261" t="b">
        <v>1</v>
      </c>
      <c r="Q261" t="b">
        <v>0</v>
      </c>
      <c r="R261" t="s">
        <v>122</v>
      </c>
      <c r="S261" t="s">
        <v>2054</v>
      </c>
      <c r="T261" t="s">
        <v>2055</v>
      </c>
    </row>
    <row r="262" spans="1:20" ht="17" hidden="1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>
        <f t="shared" si="12"/>
        <v>158</v>
      </c>
      <c r="G262" t="s">
        <v>20</v>
      </c>
      <c r="H262">
        <v>261</v>
      </c>
      <c r="I262" s="4">
        <f t="shared" si="13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9">
        <f>(((L262/60)/60)/24)+DATE(1970,1,1)</f>
        <v>41180.208333333336</v>
      </c>
      <c r="O262" s="9">
        <f t="shared" si="14"/>
        <v>41192.208333333336</v>
      </c>
      <c r="P262" t="b">
        <v>0</v>
      </c>
      <c r="Q262" t="b">
        <v>0</v>
      </c>
      <c r="R262" t="s">
        <v>23</v>
      </c>
      <c r="S262" t="s">
        <v>2035</v>
      </c>
      <c r="T262" t="s">
        <v>2036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>
        <f t="shared" si="12"/>
        <v>31</v>
      </c>
      <c r="G263" t="s">
        <v>14</v>
      </c>
      <c r="H263">
        <v>454</v>
      </c>
      <c r="I263" s="4">
        <f t="shared" si="13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9">
        <f>(((L263/60)/60)/24)+DATE(1970,1,1)</f>
        <v>40415.208333333336</v>
      </c>
      <c r="O263" s="9">
        <f t="shared" si="14"/>
        <v>40419.208333333336</v>
      </c>
      <c r="P263" t="b">
        <v>0</v>
      </c>
      <c r="Q263" t="b">
        <v>1</v>
      </c>
      <c r="R263" t="s">
        <v>23</v>
      </c>
      <c r="S263" t="s">
        <v>2035</v>
      </c>
      <c r="T263" t="s">
        <v>2036</v>
      </c>
    </row>
    <row r="264" spans="1:20" ht="17" hidden="1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>
        <f t="shared" si="12"/>
        <v>313</v>
      </c>
      <c r="G264" t="s">
        <v>20</v>
      </c>
      <c r="H264">
        <v>107</v>
      </c>
      <c r="I264" s="4">
        <f t="shared" si="13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9">
        <f>(((L264/60)/60)/24)+DATE(1970,1,1)</f>
        <v>40638.208333333336</v>
      </c>
      <c r="O264" s="9">
        <f t="shared" si="14"/>
        <v>40664.208333333336</v>
      </c>
      <c r="P264" t="b">
        <v>0</v>
      </c>
      <c r="Q264" t="b">
        <v>1</v>
      </c>
      <c r="R264" t="s">
        <v>60</v>
      </c>
      <c r="S264" t="s">
        <v>2035</v>
      </c>
      <c r="T264" t="s">
        <v>2045</v>
      </c>
    </row>
    <row r="265" spans="1:20" ht="17" hidden="1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>
        <f t="shared" si="12"/>
        <v>371</v>
      </c>
      <c r="G265" t="s">
        <v>20</v>
      </c>
      <c r="H265">
        <v>199</v>
      </c>
      <c r="I265" s="4">
        <f t="shared" si="13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9">
        <f>(((L265/60)/60)/24)+DATE(1970,1,1)</f>
        <v>40187.25</v>
      </c>
      <c r="O265" s="9">
        <f t="shared" si="14"/>
        <v>40187.25</v>
      </c>
      <c r="P265" t="b">
        <v>0</v>
      </c>
      <c r="Q265" t="b">
        <v>0</v>
      </c>
      <c r="R265" t="s">
        <v>122</v>
      </c>
      <c r="S265" t="s">
        <v>2054</v>
      </c>
      <c r="T265" t="s">
        <v>2055</v>
      </c>
    </row>
    <row r="266" spans="1:20" ht="17" hidden="1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>
        <f t="shared" si="12"/>
        <v>363</v>
      </c>
      <c r="G266" t="s">
        <v>20</v>
      </c>
      <c r="H266">
        <v>5512</v>
      </c>
      <c r="I266" s="4">
        <f t="shared" si="13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9">
        <f>(((L266/60)/60)/24)+DATE(1970,1,1)</f>
        <v>41317.25</v>
      </c>
      <c r="O266" s="9">
        <f t="shared" si="14"/>
        <v>41333.25</v>
      </c>
      <c r="P266" t="b">
        <v>0</v>
      </c>
      <c r="Q266" t="b">
        <v>0</v>
      </c>
      <c r="R266" t="s">
        <v>33</v>
      </c>
      <c r="S266" t="s">
        <v>2039</v>
      </c>
      <c r="T266" t="s">
        <v>2040</v>
      </c>
    </row>
    <row r="267" spans="1:20" ht="17" hidden="1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>
        <f t="shared" si="12"/>
        <v>123</v>
      </c>
      <c r="G267" t="s">
        <v>20</v>
      </c>
      <c r="H267">
        <v>86</v>
      </c>
      <c r="I267" s="4">
        <f t="shared" si="13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9">
        <f>(((L267/60)/60)/24)+DATE(1970,1,1)</f>
        <v>42372.25</v>
      </c>
      <c r="O267" s="9">
        <f t="shared" si="14"/>
        <v>42416.25</v>
      </c>
      <c r="P267" t="b">
        <v>0</v>
      </c>
      <c r="Q267" t="b">
        <v>0</v>
      </c>
      <c r="R267" t="s">
        <v>33</v>
      </c>
      <c r="S267" t="s">
        <v>2039</v>
      </c>
      <c r="T267" t="s">
        <v>2040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>
        <f t="shared" si="12"/>
        <v>77</v>
      </c>
      <c r="G268" t="s">
        <v>14</v>
      </c>
      <c r="H268">
        <v>3182</v>
      </c>
      <c r="I268" s="4">
        <f t="shared" si="13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9">
        <f>(((L268/60)/60)/24)+DATE(1970,1,1)</f>
        <v>41950.25</v>
      </c>
      <c r="O268" s="9">
        <f t="shared" si="14"/>
        <v>41983.25</v>
      </c>
      <c r="P268" t="b">
        <v>0</v>
      </c>
      <c r="Q268" t="b">
        <v>1</v>
      </c>
      <c r="R268" t="s">
        <v>159</v>
      </c>
      <c r="S268" t="s">
        <v>2035</v>
      </c>
      <c r="T268" t="s">
        <v>2058</v>
      </c>
    </row>
    <row r="269" spans="1:20" ht="17" hidden="1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>
        <f t="shared" si="12"/>
        <v>234</v>
      </c>
      <c r="G269" t="s">
        <v>20</v>
      </c>
      <c r="H269">
        <v>2768</v>
      </c>
      <c r="I269" s="4">
        <f t="shared" si="13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9">
        <f>(((L269/60)/60)/24)+DATE(1970,1,1)</f>
        <v>41206.208333333336</v>
      </c>
      <c r="O269" s="9">
        <f t="shared" si="14"/>
        <v>41222.25</v>
      </c>
      <c r="P269" t="b">
        <v>0</v>
      </c>
      <c r="Q269" t="b">
        <v>0</v>
      </c>
      <c r="R269" t="s">
        <v>33</v>
      </c>
      <c r="S269" t="s">
        <v>2039</v>
      </c>
      <c r="T269" t="s">
        <v>2040</v>
      </c>
    </row>
    <row r="270" spans="1:20" ht="17" hidden="1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>
        <f t="shared" si="12"/>
        <v>181</v>
      </c>
      <c r="G270" t="s">
        <v>20</v>
      </c>
      <c r="H270">
        <v>48</v>
      </c>
      <c r="I270" s="4">
        <f t="shared" si="13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9">
        <f>(((L270/60)/60)/24)+DATE(1970,1,1)</f>
        <v>41186.208333333336</v>
      </c>
      <c r="O270" s="9">
        <f t="shared" si="14"/>
        <v>41232.25</v>
      </c>
      <c r="P270" t="b">
        <v>0</v>
      </c>
      <c r="Q270" t="b">
        <v>0</v>
      </c>
      <c r="R270" t="s">
        <v>42</v>
      </c>
      <c r="S270" t="s">
        <v>2041</v>
      </c>
      <c r="T270" t="s">
        <v>2042</v>
      </c>
    </row>
    <row r="271" spans="1:20" ht="17" hidden="1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>
        <f t="shared" si="12"/>
        <v>253</v>
      </c>
      <c r="G271" t="s">
        <v>20</v>
      </c>
      <c r="H271">
        <v>87</v>
      </c>
      <c r="I271" s="4">
        <f t="shared" si="13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9">
        <f>(((L271/60)/60)/24)+DATE(1970,1,1)</f>
        <v>43496.25</v>
      </c>
      <c r="O271" s="9">
        <f t="shared" si="14"/>
        <v>43517.25</v>
      </c>
      <c r="P271" t="b">
        <v>0</v>
      </c>
      <c r="Q271" t="b">
        <v>0</v>
      </c>
      <c r="R271" t="s">
        <v>269</v>
      </c>
      <c r="S271" t="s">
        <v>2041</v>
      </c>
      <c r="T271" t="s">
        <v>2060</v>
      </c>
    </row>
    <row r="272" spans="1:20" ht="17" hidden="1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>
        <f t="shared" si="12"/>
        <v>27</v>
      </c>
      <c r="G272" t="s">
        <v>74</v>
      </c>
      <c r="H272">
        <v>1890</v>
      </c>
      <c r="I272" s="4">
        <f t="shared" si="13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9">
        <f>(((L272/60)/60)/24)+DATE(1970,1,1)</f>
        <v>40514.25</v>
      </c>
      <c r="O272" s="9">
        <f t="shared" si="14"/>
        <v>40516.25</v>
      </c>
      <c r="P272" t="b">
        <v>0</v>
      </c>
      <c r="Q272" t="b">
        <v>0</v>
      </c>
      <c r="R272" t="s">
        <v>89</v>
      </c>
      <c r="S272" t="s">
        <v>2050</v>
      </c>
      <c r="T272" t="s">
        <v>2051</v>
      </c>
    </row>
    <row r="273" spans="1:20" ht="34" hidden="1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>
        <f t="shared" si="12"/>
        <v>1</v>
      </c>
      <c r="G273" t="s">
        <v>47</v>
      </c>
      <c r="H273">
        <v>61</v>
      </c>
      <c r="I273" s="4">
        <f t="shared" si="13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9">
        <f>(((L273/60)/60)/24)+DATE(1970,1,1)</f>
        <v>42345.25</v>
      </c>
      <c r="O273" s="9">
        <f t="shared" si="14"/>
        <v>42376.25</v>
      </c>
      <c r="P273" t="b">
        <v>0</v>
      </c>
      <c r="Q273" t="b">
        <v>0</v>
      </c>
      <c r="R273" t="s">
        <v>122</v>
      </c>
      <c r="S273" t="s">
        <v>2054</v>
      </c>
      <c r="T273" t="s">
        <v>2055</v>
      </c>
    </row>
    <row r="274" spans="1:20" ht="17" hidden="1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>
        <f t="shared" si="12"/>
        <v>304</v>
      </c>
      <c r="G274" t="s">
        <v>20</v>
      </c>
      <c r="H274">
        <v>1894</v>
      </c>
      <c r="I274" s="4">
        <f t="shared" si="13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9">
        <f>(((L274/60)/60)/24)+DATE(1970,1,1)</f>
        <v>43656.208333333328</v>
      </c>
      <c r="O274" s="9">
        <f t="shared" si="14"/>
        <v>43681.208333333328</v>
      </c>
      <c r="P274" t="b">
        <v>0</v>
      </c>
      <c r="Q274" t="b">
        <v>1</v>
      </c>
      <c r="R274" t="s">
        <v>33</v>
      </c>
      <c r="S274" t="s">
        <v>2039</v>
      </c>
      <c r="T274" t="s">
        <v>2040</v>
      </c>
    </row>
    <row r="275" spans="1:20" ht="17" hidden="1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>
        <f t="shared" si="12"/>
        <v>137</v>
      </c>
      <c r="G275" t="s">
        <v>20</v>
      </c>
      <c r="H275">
        <v>282</v>
      </c>
      <c r="I275" s="4">
        <f t="shared" si="13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9">
        <f>(((L275/60)/60)/24)+DATE(1970,1,1)</f>
        <v>42995.208333333328</v>
      </c>
      <c r="O275" s="9">
        <f t="shared" si="14"/>
        <v>42998.208333333328</v>
      </c>
      <c r="P275" t="b">
        <v>0</v>
      </c>
      <c r="Q275" t="b">
        <v>0</v>
      </c>
      <c r="R275" t="s">
        <v>33</v>
      </c>
      <c r="S275" t="s">
        <v>2039</v>
      </c>
      <c r="T275" t="s">
        <v>2040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>
        <f t="shared" si="12"/>
        <v>32</v>
      </c>
      <c r="G276" t="s">
        <v>14</v>
      </c>
      <c r="H276">
        <v>15</v>
      </c>
      <c r="I276" s="4">
        <f t="shared" si="13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9">
        <f>(((L276/60)/60)/24)+DATE(1970,1,1)</f>
        <v>43045.25</v>
      </c>
      <c r="O276" s="9">
        <f t="shared" si="14"/>
        <v>43050.25</v>
      </c>
      <c r="P276" t="b">
        <v>0</v>
      </c>
      <c r="Q276" t="b">
        <v>0</v>
      </c>
      <c r="R276" t="s">
        <v>33</v>
      </c>
      <c r="S276" t="s">
        <v>2039</v>
      </c>
      <c r="T276" t="s">
        <v>2040</v>
      </c>
    </row>
    <row r="277" spans="1:20" ht="34" hidden="1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>
        <f t="shared" si="12"/>
        <v>242</v>
      </c>
      <c r="G277" t="s">
        <v>20</v>
      </c>
      <c r="H277">
        <v>116</v>
      </c>
      <c r="I277" s="4">
        <f t="shared" si="13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9">
        <f>(((L277/60)/60)/24)+DATE(1970,1,1)</f>
        <v>43561.208333333328</v>
      </c>
      <c r="O277" s="9">
        <f t="shared" si="14"/>
        <v>43569.208333333328</v>
      </c>
      <c r="P277" t="b">
        <v>0</v>
      </c>
      <c r="Q277" t="b">
        <v>0</v>
      </c>
      <c r="R277" t="s">
        <v>206</v>
      </c>
      <c r="S277" t="s">
        <v>2047</v>
      </c>
      <c r="T277" t="s">
        <v>2059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>
        <f t="shared" si="12"/>
        <v>97</v>
      </c>
      <c r="G278" t="s">
        <v>14</v>
      </c>
      <c r="H278">
        <v>133</v>
      </c>
      <c r="I278" s="4">
        <f t="shared" si="13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9">
        <f>(((L278/60)/60)/24)+DATE(1970,1,1)</f>
        <v>41018.208333333336</v>
      </c>
      <c r="O278" s="9">
        <f t="shared" si="14"/>
        <v>41023.208333333336</v>
      </c>
      <c r="P278" t="b">
        <v>0</v>
      </c>
      <c r="Q278" t="b">
        <v>1</v>
      </c>
      <c r="R278" t="s">
        <v>89</v>
      </c>
      <c r="S278" t="s">
        <v>2050</v>
      </c>
      <c r="T278" t="s">
        <v>2051</v>
      </c>
    </row>
    <row r="279" spans="1:20" ht="34" hidden="1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>
        <f t="shared" si="12"/>
        <v>1066</v>
      </c>
      <c r="G279" t="s">
        <v>20</v>
      </c>
      <c r="H279">
        <v>83</v>
      </c>
      <c r="I279" s="4">
        <f t="shared" si="13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9">
        <f>(((L279/60)/60)/24)+DATE(1970,1,1)</f>
        <v>40378.208333333336</v>
      </c>
      <c r="O279" s="9">
        <f t="shared" si="14"/>
        <v>40380.208333333336</v>
      </c>
      <c r="P279" t="b">
        <v>0</v>
      </c>
      <c r="Q279" t="b">
        <v>0</v>
      </c>
      <c r="R279" t="s">
        <v>33</v>
      </c>
      <c r="S279" t="s">
        <v>2039</v>
      </c>
      <c r="T279" t="s">
        <v>2040</v>
      </c>
    </row>
    <row r="280" spans="1:20" ht="17" hidden="1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>
        <f t="shared" si="12"/>
        <v>326</v>
      </c>
      <c r="G280" t="s">
        <v>20</v>
      </c>
      <c r="H280">
        <v>91</v>
      </c>
      <c r="I280" s="4">
        <f t="shared" si="13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9">
        <f>(((L280/60)/60)/24)+DATE(1970,1,1)</f>
        <v>41239.25</v>
      </c>
      <c r="O280" s="9">
        <f t="shared" si="14"/>
        <v>41264.25</v>
      </c>
      <c r="P280" t="b">
        <v>0</v>
      </c>
      <c r="Q280" t="b">
        <v>0</v>
      </c>
      <c r="R280" t="s">
        <v>28</v>
      </c>
      <c r="S280" t="s">
        <v>2037</v>
      </c>
      <c r="T280" t="s">
        <v>2038</v>
      </c>
    </row>
    <row r="281" spans="1:20" ht="17" hidden="1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>
        <f t="shared" si="12"/>
        <v>171</v>
      </c>
      <c r="G281" t="s">
        <v>20</v>
      </c>
      <c r="H281">
        <v>546</v>
      </c>
      <c r="I281" s="4">
        <f t="shared" si="13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9">
        <f>(((L281/60)/60)/24)+DATE(1970,1,1)</f>
        <v>43346.208333333328</v>
      </c>
      <c r="O281" s="9">
        <f t="shared" si="14"/>
        <v>43349.208333333328</v>
      </c>
      <c r="P281" t="b">
        <v>0</v>
      </c>
      <c r="Q281" t="b">
        <v>0</v>
      </c>
      <c r="R281" t="s">
        <v>33</v>
      </c>
      <c r="S281" t="s">
        <v>2039</v>
      </c>
      <c r="T281" t="s">
        <v>2040</v>
      </c>
    </row>
    <row r="282" spans="1:20" ht="34" hidden="1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>
        <f t="shared" si="12"/>
        <v>581</v>
      </c>
      <c r="G282" t="s">
        <v>20</v>
      </c>
      <c r="H282">
        <v>393</v>
      </c>
      <c r="I282" s="4">
        <f t="shared" si="13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9">
        <f>(((L282/60)/60)/24)+DATE(1970,1,1)</f>
        <v>43060.25</v>
      </c>
      <c r="O282" s="9">
        <f t="shared" si="14"/>
        <v>43066.25</v>
      </c>
      <c r="P282" t="b">
        <v>0</v>
      </c>
      <c r="Q282" t="b">
        <v>0</v>
      </c>
      <c r="R282" t="s">
        <v>71</v>
      </c>
      <c r="S282" t="s">
        <v>2041</v>
      </c>
      <c r="T282" t="s">
        <v>2049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>
        <f t="shared" si="12"/>
        <v>92</v>
      </c>
      <c r="G283" t="s">
        <v>14</v>
      </c>
      <c r="H283">
        <v>2062</v>
      </c>
      <c r="I283" s="4">
        <f t="shared" si="13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9">
        <f>(((L283/60)/60)/24)+DATE(1970,1,1)</f>
        <v>40979.25</v>
      </c>
      <c r="O283" s="9">
        <f t="shared" si="14"/>
        <v>41000.208333333336</v>
      </c>
      <c r="P283" t="b">
        <v>0</v>
      </c>
      <c r="Q283" t="b">
        <v>1</v>
      </c>
      <c r="R283" t="s">
        <v>33</v>
      </c>
      <c r="S283" t="s">
        <v>2039</v>
      </c>
      <c r="T283" t="s">
        <v>2040</v>
      </c>
    </row>
    <row r="284" spans="1:20" ht="17" hidden="1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>
        <f t="shared" si="12"/>
        <v>108</v>
      </c>
      <c r="G284" t="s">
        <v>20</v>
      </c>
      <c r="H284">
        <v>133</v>
      </c>
      <c r="I284" s="4">
        <f t="shared" si="13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9">
        <f>(((L284/60)/60)/24)+DATE(1970,1,1)</f>
        <v>42701.25</v>
      </c>
      <c r="O284" s="9">
        <f t="shared" si="14"/>
        <v>42707.25</v>
      </c>
      <c r="P284" t="b">
        <v>0</v>
      </c>
      <c r="Q284" t="b">
        <v>1</v>
      </c>
      <c r="R284" t="s">
        <v>269</v>
      </c>
      <c r="S284" t="s">
        <v>2041</v>
      </c>
      <c r="T284" t="s">
        <v>2060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>
        <f t="shared" si="12"/>
        <v>19</v>
      </c>
      <c r="G285" t="s">
        <v>14</v>
      </c>
      <c r="H285">
        <v>29</v>
      </c>
      <c r="I285" s="4">
        <f t="shared" si="13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9">
        <f>(((L285/60)/60)/24)+DATE(1970,1,1)</f>
        <v>42520.208333333328</v>
      </c>
      <c r="O285" s="9">
        <f t="shared" si="14"/>
        <v>42525.208333333328</v>
      </c>
      <c r="P285" t="b">
        <v>0</v>
      </c>
      <c r="Q285" t="b">
        <v>0</v>
      </c>
      <c r="R285" t="s">
        <v>23</v>
      </c>
      <c r="S285" t="s">
        <v>2035</v>
      </c>
      <c r="T285" t="s">
        <v>2036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>
        <f t="shared" si="12"/>
        <v>83</v>
      </c>
      <c r="G286" t="s">
        <v>14</v>
      </c>
      <c r="H286">
        <v>132</v>
      </c>
      <c r="I286" s="4">
        <f t="shared" si="13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9">
        <f>(((L286/60)/60)/24)+DATE(1970,1,1)</f>
        <v>41030.208333333336</v>
      </c>
      <c r="O286" s="9">
        <f t="shared" si="14"/>
        <v>41035.208333333336</v>
      </c>
      <c r="P286" t="b">
        <v>0</v>
      </c>
      <c r="Q286" t="b">
        <v>0</v>
      </c>
      <c r="R286" t="s">
        <v>28</v>
      </c>
      <c r="S286" t="s">
        <v>2037</v>
      </c>
      <c r="T286" t="s">
        <v>2038</v>
      </c>
    </row>
    <row r="287" spans="1:20" ht="17" hidden="1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>
        <f t="shared" si="12"/>
        <v>706</v>
      </c>
      <c r="G287" t="s">
        <v>20</v>
      </c>
      <c r="H287">
        <v>254</v>
      </c>
      <c r="I287" s="4">
        <f t="shared" si="13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9">
        <f>(((L287/60)/60)/24)+DATE(1970,1,1)</f>
        <v>42623.208333333328</v>
      </c>
      <c r="O287" s="9">
        <f t="shared" si="14"/>
        <v>42661.208333333328</v>
      </c>
      <c r="P287" t="b">
        <v>0</v>
      </c>
      <c r="Q287" t="b">
        <v>0</v>
      </c>
      <c r="R287" t="s">
        <v>33</v>
      </c>
      <c r="S287" t="s">
        <v>2039</v>
      </c>
      <c r="T287" t="s">
        <v>2040</v>
      </c>
    </row>
    <row r="288" spans="1:20" ht="17" hidden="1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>
        <f t="shared" si="12"/>
        <v>17</v>
      </c>
      <c r="G288" t="s">
        <v>74</v>
      </c>
      <c r="H288">
        <v>184</v>
      </c>
      <c r="I288" s="4">
        <f t="shared" si="13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9">
        <f>(((L288/60)/60)/24)+DATE(1970,1,1)</f>
        <v>42697.25</v>
      </c>
      <c r="O288" s="9">
        <f t="shared" si="14"/>
        <v>42704.25</v>
      </c>
      <c r="P288" t="b">
        <v>0</v>
      </c>
      <c r="Q288" t="b">
        <v>0</v>
      </c>
      <c r="R288" t="s">
        <v>33</v>
      </c>
      <c r="S288" t="s">
        <v>2039</v>
      </c>
      <c r="T288" t="s">
        <v>2040</v>
      </c>
    </row>
    <row r="289" spans="1:20" ht="17" hidden="1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>
        <f t="shared" si="12"/>
        <v>210</v>
      </c>
      <c r="G289" t="s">
        <v>20</v>
      </c>
      <c r="H289">
        <v>176</v>
      </c>
      <c r="I289" s="4">
        <f t="shared" si="13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9">
        <f>(((L289/60)/60)/24)+DATE(1970,1,1)</f>
        <v>42122.208333333328</v>
      </c>
      <c r="O289" s="9">
        <f t="shared" si="14"/>
        <v>42122.208333333328</v>
      </c>
      <c r="P289" t="b">
        <v>0</v>
      </c>
      <c r="Q289" t="b">
        <v>0</v>
      </c>
      <c r="R289" t="s">
        <v>50</v>
      </c>
      <c r="S289" t="s">
        <v>2035</v>
      </c>
      <c r="T289" t="s">
        <v>2043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>
        <f t="shared" si="12"/>
        <v>98</v>
      </c>
      <c r="G290" t="s">
        <v>14</v>
      </c>
      <c r="H290">
        <v>137</v>
      </c>
      <c r="I290" s="4">
        <f t="shared" si="13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9">
        <f>(((L290/60)/60)/24)+DATE(1970,1,1)</f>
        <v>40982.208333333336</v>
      </c>
      <c r="O290" s="9">
        <f t="shared" si="14"/>
        <v>40983.208333333336</v>
      </c>
      <c r="P290" t="b">
        <v>0</v>
      </c>
      <c r="Q290" t="b">
        <v>1</v>
      </c>
      <c r="R290" t="s">
        <v>148</v>
      </c>
      <c r="S290" t="s">
        <v>2035</v>
      </c>
      <c r="T290" t="s">
        <v>2057</v>
      </c>
    </row>
    <row r="291" spans="1:20" ht="17" hidden="1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>
        <f t="shared" si="12"/>
        <v>1684</v>
      </c>
      <c r="G291" t="s">
        <v>20</v>
      </c>
      <c r="H291">
        <v>337</v>
      </c>
      <c r="I291" s="4">
        <f t="shared" si="13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9">
        <f>(((L291/60)/60)/24)+DATE(1970,1,1)</f>
        <v>42219.208333333328</v>
      </c>
      <c r="O291" s="9">
        <f t="shared" si="14"/>
        <v>42222.208333333328</v>
      </c>
      <c r="P291" t="b">
        <v>0</v>
      </c>
      <c r="Q291" t="b">
        <v>0</v>
      </c>
      <c r="R291" t="s">
        <v>33</v>
      </c>
      <c r="S291" t="s">
        <v>2039</v>
      </c>
      <c r="T291" t="s">
        <v>2040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>
        <f t="shared" si="12"/>
        <v>54</v>
      </c>
      <c r="G292" t="s">
        <v>14</v>
      </c>
      <c r="H292">
        <v>908</v>
      </c>
      <c r="I292" s="4">
        <f t="shared" si="13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9">
        <f>(((L292/60)/60)/24)+DATE(1970,1,1)</f>
        <v>41404.208333333336</v>
      </c>
      <c r="O292" s="9">
        <f t="shared" si="14"/>
        <v>41436.208333333336</v>
      </c>
      <c r="P292" t="b">
        <v>0</v>
      </c>
      <c r="Q292" t="b">
        <v>1</v>
      </c>
      <c r="R292" t="s">
        <v>42</v>
      </c>
      <c r="S292" t="s">
        <v>2041</v>
      </c>
      <c r="T292" t="s">
        <v>2042</v>
      </c>
    </row>
    <row r="293" spans="1:20" ht="17" hidden="1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>
        <f t="shared" si="12"/>
        <v>457</v>
      </c>
      <c r="G293" t="s">
        <v>20</v>
      </c>
      <c r="H293">
        <v>107</v>
      </c>
      <c r="I293" s="4">
        <f t="shared" si="13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9">
        <f>(((L293/60)/60)/24)+DATE(1970,1,1)</f>
        <v>40831.208333333336</v>
      </c>
      <c r="O293" s="9">
        <f t="shared" si="14"/>
        <v>40835.208333333336</v>
      </c>
      <c r="P293" t="b">
        <v>1</v>
      </c>
      <c r="Q293" t="b">
        <v>0</v>
      </c>
      <c r="R293" t="s">
        <v>28</v>
      </c>
      <c r="S293" t="s">
        <v>2037</v>
      </c>
      <c r="T293" t="s">
        <v>2038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>
        <f t="shared" si="12"/>
        <v>10</v>
      </c>
      <c r="G294" t="s">
        <v>14</v>
      </c>
      <c r="H294">
        <v>10</v>
      </c>
      <c r="I294" s="4">
        <f t="shared" si="13"/>
        <v>71.7</v>
      </c>
      <c r="J294" t="s">
        <v>21</v>
      </c>
      <c r="K294" t="s">
        <v>22</v>
      </c>
      <c r="L294">
        <v>1331874000</v>
      </c>
      <c r="M294">
        <v>1333429200</v>
      </c>
      <c r="N294" s="9">
        <f>(((L294/60)/60)/24)+DATE(1970,1,1)</f>
        <v>40984.208333333336</v>
      </c>
      <c r="O294" s="9">
        <f t="shared" si="14"/>
        <v>41002.208333333336</v>
      </c>
      <c r="P294" t="b">
        <v>0</v>
      </c>
      <c r="Q294" t="b">
        <v>0</v>
      </c>
      <c r="R294" t="s">
        <v>17</v>
      </c>
      <c r="S294" t="s">
        <v>2033</v>
      </c>
      <c r="T294" t="s">
        <v>2034</v>
      </c>
    </row>
    <row r="295" spans="1:20" ht="17" hidden="1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>
        <f t="shared" si="12"/>
        <v>16</v>
      </c>
      <c r="G295" t="s">
        <v>74</v>
      </c>
      <c r="H295">
        <v>32</v>
      </c>
      <c r="I295" s="4">
        <f t="shared" si="13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9">
        <f>(((L295/60)/60)/24)+DATE(1970,1,1)</f>
        <v>40456.208333333336</v>
      </c>
      <c r="O295" s="9">
        <f t="shared" si="14"/>
        <v>40465.208333333336</v>
      </c>
      <c r="P295" t="b">
        <v>0</v>
      </c>
      <c r="Q295" t="b">
        <v>0</v>
      </c>
      <c r="R295" t="s">
        <v>33</v>
      </c>
      <c r="S295" t="s">
        <v>2039</v>
      </c>
      <c r="T295" t="s">
        <v>2040</v>
      </c>
    </row>
    <row r="296" spans="1:20" ht="17" hidden="1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>
        <f t="shared" si="12"/>
        <v>1340</v>
      </c>
      <c r="G296" t="s">
        <v>20</v>
      </c>
      <c r="H296">
        <v>183</v>
      </c>
      <c r="I296" s="4">
        <f t="shared" si="13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9">
        <f>(((L296/60)/60)/24)+DATE(1970,1,1)</f>
        <v>43399.208333333328</v>
      </c>
      <c r="O296" s="9">
        <f t="shared" si="14"/>
        <v>43411.25</v>
      </c>
      <c r="P296" t="b">
        <v>0</v>
      </c>
      <c r="Q296" t="b">
        <v>0</v>
      </c>
      <c r="R296" t="s">
        <v>33</v>
      </c>
      <c r="S296" t="s">
        <v>2039</v>
      </c>
      <c r="T296" t="s">
        <v>2040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>
        <f t="shared" si="12"/>
        <v>36</v>
      </c>
      <c r="G297" t="s">
        <v>14</v>
      </c>
      <c r="H297">
        <v>1910</v>
      </c>
      <c r="I297" s="4">
        <f t="shared" si="13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9">
        <f>(((L297/60)/60)/24)+DATE(1970,1,1)</f>
        <v>41562.208333333336</v>
      </c>
      <c r="O297" s="9">
        <f t="shared" si="14"/>
        <v>41587.25</v>
      </c>
      <c r="P297" t="b">
        <v>0</v>
      </c>
      <c r="Q297" t="b">
        <v>0</v>
      </c>
      <c r="R297" t="s">
        <v>33</v>
      </c>
      <c r="S297" t="s">
        <v>2039</v>
      </c>
      <c r="T297" t="s">
        <v>2040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>
        <f t="shared" si="12"/>
        <v>55</v>
      </c>
      <c r="G298" t="s">
        <v>14</v>
      </c>
      <c r="H298">
        <v>38</v>
      </c>
      <c r="I298" s="4">
        <f t="shared" si="13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9">
        <f>(((L298/60)/60)/24)+DATE(1970,1,1)</f>
        <v>43493.25</v>
      </c>
      <c r="O298" s="9">
        <f t="shared" si="14"/>
        <v>43515.25</v>
      </c>
      <c r="P298" t="b">
        <v>0</v>
      </c>
      <c r="Q298" t="b">
        <v>0</v>
      </c>
      <c r="R298" t="s">
        <v>33</v>
      </c>
      <c r="S298" t="s">
        <v>2039</v>
      </c>
      <c r="T298" t="s">
        <v>2040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>
        <f t="shared" si="12"/>
        <v>94</v>
      </c>
      <c r="G299" t="s">
        <v>14</v>
      </c>
      <c r="H299">
        <v>104</v>
      </c>
      <c r="I299" s="4">
        <f t="shared" si="13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9">
        <f>(((L299/60)/60)/24)+DATE(1970,1,1)</f>
        <v>41653.25</v>
      </c>
      <c r="O299" s="9">
        <f t="shared" si="14"/>
        <v>41662.25</v>
      </c>
      <c r="P299" t="b">
        <v>0</v>
      </c>
      <c r="Q299" t="b">
        <v>1</v>
      </c>
      <c r="R299" t="s">
        <v>33</v>
      </c>
      <c r="S299" t="s">
        <v>2039</v>
      </c>
      <c r="T299" t="s">
        <v>2040</v>
      </c>
    </row>
    <row r="300" spans="1:20" ht="17" hidden="1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>
        <f t="shared" si="12"/>
        <v>144</v>
      </c>
      <c r="G300" t="s">
        <v>20</v>
      </c>
      <c r="H300">
        <v>72</v>
      </c>
      <c r="I300" s="4">
        <f t="shared" si="13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9">
        <f>(((L300/60)/60)/24)+DATE(1970,1,1)</f>
        <v>42426.25</v>
      </c>
      <c r="O300" s="9">
        <f t="shared" si="14"/>
        <v>42444.208333333328</v>
      </c>
      <c r="P300" t="b">
        <v>0</v>
      </c>
      <c r="Q300" t="b">
        <v>1</v>
      </c>
      <c r="R300" t="s">
        <v>23</v>
      </c>
      <c r="S300" t="s">
        <v>2035</v>
      </c>
      <c r="T300" t="s">
        <v>2036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>
        <f t="shared" si="12"/>
        <v>51</v>
      </c>
      <c r="G301" t="s">
        <v>14</v>
      </c>
      <c r="H301">
        <v>49</v>
      </c>
      <c r="I301" s="4">
        <f t="shared" si="13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9">
        <f>(((L301/60)/60)/24)+DATE(1970,1,1)</f>
        <v>42432.25</v>
      </c>
      <c r="O301" s="9">
        <f t="shared" si="14"/>
        <v>42488.208333333328</v>
      </c>
      <c r="P301" t="b">
        <v>0</v>
      </c>
      <c r="Q301" t="b">
        <v>0</v>
      </c>
      <c r="R301" t="s">
        <v>17</v>
      </c>
      <c r="S301" t="s">
        <v>2033</v>
      </c>
      <c r="T301" t="s">
        <v>2034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>
        <f t="shared" si="12"/>
        <v>5</v>
      </c>
      <c r="G302" t="s">
        <v>14</v>
      </c>
      <c r="H302">
        <v>1</v>
      </c>
      <c r="I302" s="4">
        <f t="shared" si="13"/>
        <v>5</v>
      </c>
      <c r="J302" t="s">
        <v>36</v>
      </c>
      <c r="K302" t="s">
        <v>37</v>
      </c>
      <c r="L302">
        <v>1504069200</v>
      </c>
      <c r="M302">
        <v>1504155600</v>
      </c>
      <c r="N302" s="9">
        <f>(((L302/60)/60)/24)+DATE(1970,1,1)</f>
        <v>42977.208333333328</v>
      </c>
      <c r="O302" s="9">
        <f t="shared" si="14"/>
        <v>42978.208333333328</v>
      </c>
      <c r="P302" t="b">
        <v>0</v>
      </c>
      <c r="Q302" t="b">
        <v>1</v>
      </c>
      <c r="R302" t="s">
        <v>68</v>
      </c>
      <c r="S302" t="s">
        <v>2047</v>
      </c>
      <c r="T302" t="s">
        <v>2048</v>
      </c>
    </row>
    <row r="303" spans="1:20" ht="34" hidden="1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>
        <f t="shared" si="12"/>
        <v>1345</v>
      </c>
      <c r="G303" t="s">
        <v>20</v>
      </c>
      <c r="H303">
        <v>295</v>
      </c>
      <c r="I303" s="4">
        <f t="shared" si="13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9">
        <f>(((L303/60)/60)/24)+DATE(1970,1,1)</f>
        <v>42061.25</v>
      </c>
      <c r="O303" s="9">
        <f t="shared" si="14"/>
        <v>42078.208333333328</v>
      </c>
      <c r="P303" t="b">
        <v>0</v>
      </c>
      <c r="Q303" t="b">
        <v>0</v>
      </c>
      <c r="R303" t="s">
        <v>42</v>
      </c>
      <c r="S303" t="s">
        <v>2041</v>
      </c>
      <c r="T303" t="s">
        <v>2042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>
        <f t="shared" si="12"/>
        <v>32</v>
      </c>
      <c r="G304" t="s">
        <v>14</v>
      </c>
      <c r="H304">
        <v>245</v>
      </c>
      <c r="I304" s="4">
        <f t="shared" si="13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9">
        <f>(((L304/60)/60)/24)+DATE(1970,1,1)</f>
        <v>43345.208333333328</v>
      </c>
      <c r="O304" s="9">
        <f t="shared" si="14"/>
        <v>43359.208333333328</v>
      </c>
      <c r="P304" t="b">
        <v>0</v>
      </c>
      <c r="Q304" t="b">
        <v>0</v>
      </c>
      <c r="R304" t="s">
        <v>33</v>
      </c>
      <c r="S304" t="s">
        <v>2039</v>
      </c>
      <c r="T304" t="s">
        <v>2040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>
        <f t="shared" si="12"/>
        <v>83</v>
      </c>
      <c r="G305" t="s">
        <v>14</v>
      </c>
      <c r="H305">
        <v>32</v>
      </c>
      <c r="I305" s="4">
        <f t="shared" si="13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9">
        <f>(((L305/60)/60)/24)+DATE(1970,1,1)</f>
        <v>42376.25</v>
      </c>
      <c r="O305" s="9">
        <f t="shared" si="14"/>
        <v>42381.25</v>
      </c>
      <c r="P305" t="b">
        <v>0</v>
      </c>
      <c r="Q305" t="b">
        <v>0</v>
      </c>
      <c r="R305" t="s">
        <v>60</v>
      </c>
      <c r="S305" t="s">
        <v>2035</v>
      </c>
      <c r="T305" t="s">
        <v>2045</v>
      </c>
    </row>
    <row r="306" spans="1:20" ht="17" hidden="1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>
        <f t="shared" si="12"/>
        <v>546</v>
      </c>
      <c r="G306" t="s">
        <v>20</v>
      </c>
      <c r="H306">
        <v>142</v>
      </c>
      <c r="I306" s="4">
        <f t="shared" si="13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9">
        <f>(((L306/60)/60)/24)+DATE(1970,1,1)</f>
        <v>42589.208333333328</v>
      </c>
      <c r="O306" s="9">
        <f t="shared" si="14"/>
        <v>42630.208333333328</v>
      </c>
      <c r="P306" t="b">
        <v>0</v>
      </c>
      <c r="Q306" t="b">
        <v>0</v>
      </c>
      <c r="R306" t="s">
        <v>42</v>
      </c>
      <c r="S306" t="s">
        <v>2041</v>
      </c>
      <c r="T306" t="s">
        <v>2042</v>
      </c>
    </row>
    <row r="307" spans="1:20" ht="17" hidden="1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>
        <f t="shared" si="12"/>
        <v>286</v>
      </c>
      <c r="G307" t="s">
        <v>20</v>
      </c>
      <c r="H307">
        <v>85</v>
      </c>
      <c r="I307" s="4">
        <f t="shared" si="13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9">
        <f>(((L307/60)/60)/24)+DATE(1970,1,1)</f>
        <v>42448.208333333328</v>
      </c>
      <c r="O307" s="9">
        <f t="shared" si="14"/>
        <v>42489.208333333328</v>
      </c>
      <c r="P307" t="b">
        <v>0</v>
      </c>
      <c r="Q307" t="b">
        <v>0</v>
      </c>
      <c r="R307" t="s">
        <v>33</v>
      </c>
      <c r="S307" t="s">
        <v>2039</v>
      </c>
      <c r="T307" t="s">
        <v>2040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>
        <f t="shared" si="12"/>
        <v>8</v>
      </c>
      <c r="G308" t="s">
        <v>14</v>
      </c>
      <c r="H308">
        <v>7</v>
      </c>
      <c r="I308" s="4">
        <f t="shared" si="13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9">
        <f>(((L308/60)/60)/24)+DATE(1970,1,1)</f>
        <v>42930.208333333328</v>
      </c>
      <c r="O308" s="9">
        <f t="shared" si="14"/>
        <v>42933.208333333328</v>
      </c>
      <c r="P308" t="b">
        <v>0</v>
      </c>
      <c r="Q308" t="b">
        <v>1</v>
      </c>
      <c r="R308" t="s">
        <v>33</v>
      </c>
      <c r="S308" t="s">
        <v>2039</v>
      </c>
      <c r="T308" t="s">
        <v>2040</v>
      </c>
    </row>
    <row r="309" spans="1:20" ht="17" hidden="1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>
        <f t="shared" si="12"/>
        <v>132</v>
      </c>
      <c r="G309" t="s">
        <v>20</v>
      </c>
      <c r="H309">
        <v>659</v>
      </c>
      <c r="I309" s="4">
        <f t="shared" si="13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9">
        <f>(((L309/60)/60)/24)+DATE(1970,1,1)</f>
        <v>41066.208333333336</v>
      </c>
      <c r="O309" s="9">
        <f t="shared" si="14"/>
        <v>41086.208333333336</v>
      </c>
      <c r="P309" t="b">
        <v>0</v>
      </c>
      <c r="Q309" t="b">
        <v>1</v>
      </c>
      <c r="R309" t="s">
        <v>119</v>
      </c>
      <c r="S309" t="s">
        <v>2047</v>
      </c>
      <c r="T309" t="s">
        <v>2053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>
        <f t="shared" si="12"/>
        <v>74</v>
      </c>
      <c r="G310" t="s">
        <v>14</v>
      </c>
      <c r="H310">
        <v>803</v>
      </c>
      <c r="I310" s="4">
        <f t="shared" si="13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9">
        <f>(((L310/60)/60)/24)+DATE(1970,1,1)</f>
        <v>40651.208333333336</v>
      </c>
      <c r="O310" s="9">
        <f t="shared" si="14"/>
        <v>40652.208333333336</v>
      </c>
      <c r="P310" t="b">
        <v>0</v>
      </c>
      <c r="Q310" t="b">
        <v>0</v>
      </c>
      <c r="R310" t="s">
        <v>33</v>
      </c>
      <c r="S310" t="s">
        <v>2039</v>
      </c>
      <c r="T310" t="s">
        <v>2040</v>
      </c>
    </row>
    <row r="311" spans="1:20" ht="17" hidden="1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>
        <f t="shared" si="12"/>
        <v>75</v>
      </c>
      <c r="G311" t="s">
        <v>74</v>
      </c>
      <c r="H311">
        <v>75</v>
      </c>
      <c r="I311" s="4">
        <f t="shared" si="13"/>
        <v>41.16</v>
      </c>
      <c r="J311" t="s">
        <v>21</v>
      </c>
      <c r="K311" t="s">
        <v>22</v>
      </c>
      <c r="L311">
        <v>1316581200</v>
      </c>
      <c r="M311">
        <v>1318309200</v>
      </c>
      <c r="N311" s="9">
        <f>(((L311/60)/60)/24)+DATE(1970,1,1)</f>
        <v>40807.208333333336</v>
      </c>
      <c r="O311" s="9">
        <f t="shared" si="14"/>
        <v>40827.208333333336</v>
      </c>
      <c r="P311" t="b">
        <v>0</v>
      </c>
      <c r="Q311" t="b">
        <v>1</v>
      </c>
      <c r="R311" t="s">
        <v>60</v>
      </c>
      <c r="S311" t="s">
        <v>2035</v>
      </c>
      <c r="T311" t="s">
        <v>2045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>
        <f t="shared" si="12"/>
        <v>20</v>
      </c>
      <c r="G312" t="s">
        <v>14</v>
      </c>
      <c r="H312">
        <v>16</v>
      </c>
      <c r="I312" s="4">
        <f t="shared" si="13"/>
        <v>99.125</v>
      </c>
      <c r="J312" t="s">
        <v>21</v>
      </c>
      <c r="K312" t="s">
        <v>22</v>
      </c>
      <c r="L312">
        <v>1270789200</v>
      </c>
      <c r="M312">
        <v>1272171600</v>
      </c>
      <c r="N312" s="9">
        <f>(((L312/60)/60)/24)+DATE(1970,1,1)</f>
        <v>40277.208333333336</v>
      </c>
      <c r="O312" s="9">
        <f t="shared" si="14"/>
        <v>40293.208333333336</v>
      </c>
      <c r="P312" t="b">
        <v>0</v>
      </c>
      <c r="Q312" t="b">
        <v>0</v>
      </c>
      <c r="R312" t="s">
        <v>89</v>
      </c>
      <c r="S312" t="s">
        <v>2050</v>
      </c>
      <c r="T312" t="s">
        <v>2051</v>
      </c>
    </row>
    <row r="313" spans="1:20" ht="17" hidden="1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>
        <f t="shared" si="12"/>
        <v>203</v>
      </c>
      <c r="G313" t="s">
        <v>20</v>
      </c>
      <c r="H313">
        <v>121</v>
      </c>
      <c r="I313" s="4">
        <f t="shared" si="13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9">
        <f>(((L313/60)/60)/24)+DATE(1970,1,1)</f>
        <v>40590.25</v>
      </c>
      <c r="O313" s="9">
        <f t="shared" si="14"/>
        <v>40602.25</v>
      </c>
      <c r="P313" t="b">
        <v>0</v>
      </c>
      <c r="Q313" t="b">
        <v>0</v>
      </c>
      <c r="R313" t="s">
        <v>33</v>
      </c>
      <c r="S313" t="s">
        <v>2039</v>
      </c>
      <c r="T313" t="s">
        <v>2040</v>
      </c>
    </row>
    <row r="314" spans="1:20" ht="17" hidden="1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>
        <f t="shared" si="12"/>
        <v>310</v>
      </c>
      <c r="G314" t="s">
        <v>20</v>
      </c>
      <c r="H314">
        <v>3742</v>
      </c>
      <c r="I314" s="4">
        <f t="shared" si="13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9">
        <f>(((L314/60)/60)/24)+DATE(1970,1,1)</f>
        <v>41572.208333333336</v>
      </c>
      <c r="O314" s="9">
        <f t="shared" si="14"/>
        <v>41579.208333333336</v>
      </c>
      <c r="P314" t="b">
        <v>0</v>
      </c>
      <c r="Q314" t="b">
        <v>0</v>
      </c>
      <c r="R314" t="s">
        <v>33</v>
      </c>
      <c r="S314" t="s">
        <v>2039</v>
      </c>
      <c r="T314" t="s">
        <v>2040</v>
      </c>
    </row>
    <row r="315" spans="1:20" ht="17" hidden="1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>
        <f t="shared" si="12"/>
        <v>395</v>
      </c>
      <c r="G315" t="s">
        <v>20</v>
      </c>
      <c r="H315">
        <v>223</v>
      </c>
      <c r="I315" s="4">
        <f t="shared" si="13"/>
        <v>39</v>
      </c>
      <c r="J315" t="s">
        <v>21</v>
      </c>
      <c r="K315" t="s">
        <v>22</v>
      </c>
      <c r="L315">
        <v>1330322400</v>
      </c>
      <c r="M315">
        <v>1330495200</v>
      </c>
      <c r="N315" s="9">
        <f>(((L315/60)/60)/24)+DATE(1970,1,1)</f>
        <v>40966.25</v>
      </c>
      <c r="O315" s="9">
        <f t="shared" si="14"/>
        <v>40968.25</v>
      </c>
      <c r="P315" t="b">
        <v>0</v>
      </c>
      <c r="Q315" t="b">
        <v>0</v>
      </c>
      <c r="R315" t="s">
        <v>23</v>
      </c>
      <c r="S315" t="s">
        <v>2035</v>
      </c>
      <c r="T315" t="s">
        <v>2036</v>
      </c>
    </row>
    <row r="316" spans="1:20" ht="17" hidden="1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>
        <f t="shared" si="12"/>
        <v>295</v>
      </c>
      <c r="G316" t="s">
        <v>20</v>
      </c>
      <c r="H316">
        <v>133</v>
      </c>
      <c r="I316" s="4">
        <f t="shared" si="13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9">
        <f>(((L316/60)/60)/24)+DATE(1970,1,1)</f>
        <v>43536.208333333328</v>
      </c>
      <c r="O316" s="9">
        <f t="shared" si="14"/>
        <v>43541.208333333328</v>
      </c>
      <c r="P316" t="b">
        <v>0</v>
      </c>
      <c r="Q316" t="b">
        <v>1</v>
      </c>
      <c r="R316" t="s">
        <v>42</v>
      </c>
      <c r="S316" t="s">
        <v>2041</v>
      </c>
      <c r="T316" t="s">
        <v>2042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>
        <f t="shared" si="12"/>
        <v>34</v>
      </c>
      <c r="G317" t="s">
        <v>14</v>
      </c>
      <c r="H317">
        <v>31</v>
      </c>
      <c r="I317" s="4">
        <f t="shared" si="13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9">
        <f>(((L317/60)/60)/24)+DATE(1970,1,1)</f>
        <v>41783.208333333336</v>
      </c>
      <c r="O317" s="9">
        <f t="shared" si="14"/>
        <v>41812.208333333336</v>
      </c>
      <c r="P317" t="b">
        <v>0</v>
      </c>
      <c r="Q317" t="b">
        <v>0</v>
      </c>
      <c r="R317" t="s">
        <v>33</v>
      </c>
      <c r="S317" t="s">
        <v>2039</v>
      </c>
      <c r="T317" t="s">
        <v>2040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>
        <f t="shared" si="12"/>
        <v>67</v>
      </c>
      <c r="G318" t="s">
        <v>14</v>
      </c>
      <c r="H318">
        <v>108</v>
      </c>
      <c r="I318" s="4">
        <f t="shared" si="13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9">
        <f>(((L318/60)/60)/24)+DATE(1970,1,1)</f>
        <v>43788.25</v>
      </c>
      <c r="O318" s="9">
        <f t="shared" si="14"/>
        <v>43789.25</v>
      </c>
      <c r="P318" t="b">
        <v>0</v>
      </c>
      <c r="Q318" t="b">
        <v>1</v>
      </c>
      <c r="R318" t="s">
        <v>17</v>
      </c>
      <c r="S318" t="s">
        <v>2033</v>
      </c>
      <c r="T318" t="s">
        <v>2034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>
        <f t="shared" si="12"/>
        <v>19</v>
      </c>
      <c r="G319" t="s">
        <v>14</v>
      </c>
      <c r="H319">
        <v>30</v>
      </c>
      <c r="I319" s="4">
        <f t="shared" si="13"/>
        <v>42.3</v>
      </c>
      <c r="J319" t="s">
        <v>21</v>
      </c>
      <c r="K319" t="s">
        <v>22</v>
      </c>
      <c r="L319">
        <v>1494738000</v>
      </c>
      <c r="M319">
        <v>1495861200</v>
      </c>
      <c r="N319" s="9">
        <f>(((L319/60)/60)/24)+DATE(1970,1,1)</f>
        <v>42869.208333333328</v>
      </c>
      <c r="O319" s="9">
        <f t="shared" si="14"/>
        <v>42882.208333333328</v>
      </c>
      <c r="P319" t="b">
        <v>0</v>
      </c>
      <c r="Q319" t="b">
        <v>0</v>
      </c>
      <c r="R319" t="s">
        <v>33</v>
      </c>
      <c r="S319" t="s">
        <v>2039</v>
      </c>
      <c r="T319" t="s">
        <v>2040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>
        <f t="shared" si="12"/>
        <v>16</v>
      </c>
      <c r="G320" t="s">
        <v>14</v>
      </c>
      <c r="H320">
        <v>17</v>
      </c>
      <c r="I320" s="4">
        <f t="shared" si="13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9">
        <f>(((L320/60)/60)/24)+DATE(1970,1,1)</f>
        <v>41684.25</v>
      </c>
      <c r="O320" s="9">
        <f t="shared" si="14"/>
        <v>41686.25</v>
      </c>
      <c r="P320" t="b">
        <v>0</v>
      </c>
      <c r="Q320" t="b">
        <v>0</v>
      </c>
      <c r="R320" t="s">
        <v>23</v>
      </c>
      <c r="S320" t="s">
        <v>2035</v>
      </c>
      <c r="T320" t="s">
        <v>2036</v>
      </c>
    </row>
    <row r="321" spans="1:20" ht="17" hidden="1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>
        <f t="shared" si="12"/>
        <v>39</v>
      </c>
      <c r="G321" t="s">
        <v>74</v>
      </c>
      <c r="H321">
        <v>64</v>
      </c>
      <c r="I321" s="4">
        <f t="shared" si="13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9">
        <f>(((L321/60)/60)/24)+DATE(1970,1,1)</f>
        <v>40402.208333333336</v>
      </c>
      <c r="O321" s="9">
        <f t="shared" si="14"/>
        <v>40426.208333333336</v>
      </c>
      <c r="P321" t="b">
        <v>0</v>
      </c>
      <c r="Q321" t="b">
        <v>0</v>
      </c>
      <c r="R321" t="s">
        <v>28</v>
      </c>
      <c r="S321" t="s">
        <v>2037</v>
      </c>
      <c r="T321" t="s">
        <v>2038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>
        <f t="shared" si="12"/>
        <v>10</v>
      </c>
      <c r="G322" t="s">
        <v>14</v>
      </c>
      <c r="H322">
        <v>80</v>
      </c>
      <c r="I322" s="4">
        <f t="shared" si="13"/>
        <v>101.15</v>
      </c>
      <c r="J322" t="s">
        <v>21</v>
      </c>
      <c r="K322" t="s">
        <v>22</v>
      </c>
      <c r="L322">
        <v>1305003600</v>
      </c>
      <c r="M322">
        <v>1305781200</v>
      </c>
      <c r="N322" s="9">
        <f>(((L322/60)/60)/24)+DATE(1970,1,1)</f>
        <v>40673.208333333336</v>
      </c>
      <c r="O322" s="9">
        <f t="shared" si="14"/>
        <v>40682.208333333336</v>
      </c>
      <c r="P322" t="b">
        <v>0</v>
      </c>
      <c r="Q322" t="b">
        <v>0</v>
      </c>
      <c r="R322" t="s">
        <v>119</v>
      </c>
      <c r="S322" t="s">
        <v>2047</v>
      </c>
      <c r="T322" t="s">
        <v>2053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>
        <f t="shared" ref="F323:F386" si="15">ROUND(E323/D323*100,0)</f>
        <v>94</v>
      </c>
      <c r="G323" t="s">
        <v>14</v>
      </c>
      <c r="H323">
        <v>2468</v>
      </c>
      <c r="I323" s="4">
        <f t="shared" ref="I323:I386" si="16">AVERAGE(E323/H323)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9">
        <f>(((L323/60)/60)/24)+DATE(1970,1,1)</f>
        <v>40634.208333333336</v>
      </c>
      <c r="O323" s="9">
        <f t="shared" ref="O323:O386" si="17">(((M323/60)/60)/24)+DATE(1970,1,1)</f>
        <v>40642.208333333336</v>
      </c>
      <c r="P323" t="b">
        <v>0</v>
      </c>
      <c r="Q323" t="b">
        <v>0</v>
      </c>
      <c r="R323" t="s">
        <v>100</v>
      </c>
      <c r="S323" t="s">
        <v>2041</v>
      </c>
      <c r="T323" t="s">
        <v>2052</v>
      </c>
    </row>
    <row r="324" spans="1:20" ht="34" hidden="1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>
        <f t="shared" si="15"/>
        <v>167</v>
      </c>
      <c r="G324" t="s">
        <v>20</v>
      </c>
      <c r="H324">
        <v>5168</v>
      </c>
      <c r="I324" s="4">
        <f t="shared" si="16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9">
        <f>(((L324/60)/60)/24)+DATE(1970,1,1)</f>
        <v>40507.25</v>
      </c>
      <c r="O324" s="9">
        <f t="shared" si="17"/>
        <v>40520.25</v>
      </c>
      <c r="P324" t="b">
        <v>0</v>
      </c>
      <c r="Q324" t="b">
        <v>0</v>
      </c>
      <c r="R324" t="s">
        <v>33</v>
      </c>
      <c r="S324" t="s">
        <v>2039</v>
      </c>
      <c r="T324" t="s">
        <v>2040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>
        <f t="shared" si="15"/>
        <v>24</v>
      </c>
      <c r="G325" t="s">
        <v>14</v>
      </c>
      <c r="H325">
        <v>26</v>
      </c>
      <c r="I325" s="4">
        <f t="shared" si="16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9">
        <f>(((L325/60)/60)/24)+DATE(1970,1,1)</f>
        <v>41725.208333333336</v>
      </c>
      <c r="O325" s="9">
        <f t="shared" si="17"/>
        <v>41727.208333333336</v>
      </c>
      <c r="P325" t="b">
        <v>0</v>
      </c>
      <c r="Q325" t="b">
        <v>0</v>
      </c>
      <c r="R325" t="s">
        <v>42</v>
      </c>
      <c r="S325" t="s">
        <v>2041</v>
      </c>
      <c r="T325" t="s">
        <v>2042</v>
      </c>
    </row>
    <row r="326" spans="1:20" ht="17" hidden="1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>
        <f t="shared" si="15"/>
        <v>164</v>
      </c>
      <c r="G326" t="s">
        <v>20</v>
      </c>
      <c r="H326">
        <v>307</v>
      </c>
      <c r="I326" s="4">
        <f t="shared" si="16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9">
        <f>(((L326/60)/60)/24)+DATE(1970,1,1)</f>
        <v>42176.208333333328</v>
      </c>
      <c r="O326" s="9">
        <f t="shared" si="17"/>
        <v>42188.208333333328</v>
      </c>
      <c r="P326" t="b">
        <v>0</v>
      </c>
      <c r="Q326" t="b">
        <v>1</v>
      </c>
      <c r="R326" t="s">
        <v>33</v>
      </c>
      <c r="S326" t="s">
        <v>2039</v>
      </c>
      <c r="T326" t="s">
        <v>2040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>
        <f t="shared" si="15"/>
        <v>91</v>
      </c>
      <c r="G327" t="s">
        <v>14</v>
      </c>
      <c r="H327">
        <v>73</v>
      </c>
      <c r="I327" s="4">
        <f t="shared" si="16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9">
        <f>(((L327/60)/60)/24)+DATE(1970,1,1)</f>
        <v>43267.208333333328</v>
      </c>
      <c r="O327" s="9">
        <f t="shared" si="17"/>
        <v>43290.208333333328</v>
      </c>
      <c r="P327" t="b">
        <v>0</v>
      </c>
      <c r="Q327" t="b">
        <v>1</v>
      </c>
      <c r="R327" t="s">
        <v>33</v>
      </c>
      <c r="S327" t="s">
        <v>2039</v>
      </c>
      <c r="T327" t="s">
        <v>2040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>
        <f t="shared" si="15"/>
        <v>46</v>
      </c>
      <c r="G328" t="s">
        <v>14</v>
      </c>
      <c r="H328">
        <v>128</v>
      </c>
      <c r="I328" s="4">
        <f t="shared" si="16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9">
        <f>(((L328/60)/60)/24)+DATE(1970,1,1)</f>
        <v>42364.25</v>
      </c>
      <c r="O328" s="9">
        <f t="shared" si="17"/>
        <v>42370.25</v>
      </c>
      <c r="P328" t="b">
        <v>0</v>
      </c>
      <c r="Q328" t="b">
        <v>0</v>
      </c>
      <c r="R328" t="s">
        <v>71</v>
      </c>
      <c r="S328" t="s">
        <v>2041</v>
      </c>
      <c r="T328" t="s">
        <v>2049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>
        <f t="shared" si="15"/>
        <v>39</v>
      </c>
      <c r="G329" t="s">
        <v>14</v>
      </c>
      <c r="H329">
        <v>33</v>
      </c>
      <c r="I329" s="4">
        <f t="shared" si="16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9">
        <f>(((L329/60)/60)/24)+DATE(1970,1,1)</f>
        <v>43705.208333333328</v>
      </c>
      <c r="O329" s="9">
        <f t="shared" si="17"/>
        <v>43709.208333333328</v>
      </c>
      <c r="P329" t="b">
        <v>0</v>
      </c>
      <c r="Q329" t="b">
        <v>1</v>
      </c>
      <c r="R329" t="s">
        <v>33</v>
      </c>
      <c r="S329" t="s">
        <v>2039</v>
      </c>
      <c r="T329" t="s">
        <v>2040</v>
      </c>
    </row>
    <row r="330" spans="1:20" ht="34" hidden="1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>
        <f t="shared" si="15"/>
        <v>134</v>
      </c>
      <c r="G330" t="s">
        <v>20</v>
      </c>
      <c r="H330">
        <v>2441</v>
      </c>
      <c r="I330" s="4">
        <f t="shared" si="16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9">
        <f>(((L330/60)/60)/24)+DATE(1970,1,1)</f>
        <v>43434.25</v>
      </c>
      <c r="O330" s="9">
        <f t="shared" si="17"/>
        <v>43445.25</v>
      </c>
      <c r="P330" t="b">
        <v>0</v>
      </c>
      <c r="Q330" t="b">
        <v>0</v>
      </c>
      <c r="R330" t="s">
        <v>23</v>
      </c>
      <c r="S330" t="s">
        <v>2035</v>
      </c>
      <c r="T330" t="s">
        <v>2036</v>
      </c>
    </row>
    <row r="331" spans="1:20" ht="17" hidden="1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>
        <f t="shared" si="15"/>
        <v>23</v>
      </c>
      <c r="G331" t="s">
        <v>47</v>
      </c>
      <c r="H331">
        <v>211</v>
      </c>
      <c r="I331" s="4">
        <f t="shared" si="16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9">
        <f>(((L331/60)/60)/24)+DATE(1970,1,1)</f>
        <v>42716.25</v>
      </c>
      <c r="O331" s="9">
        <f t="shared" si="17"/>
        <v>42727.25</v>
      </c>
      <c r="P331" t="b">
        <v>0</v>
      </c>
      <c r="Q331" t="b">
        <v>0</v>
      </c>
      <c r="R331" t="s">
        <v>89</v>
      </c>
      <c r="S331" t="s">
        <v>2050</v>
      </c>
      <c r="T331" t="s">
        <v>2051</v>
      </c>
    </row>
    <row r="332" spans="1:20" ht="34" hidden="1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>
        <f t="shared" si="15"/>
        <v>185</v>
      </c>
      <c r="G332" t="s">
        <v>20</v>
      </c>
      <c r="H332">
        <v>1385</v>
      </c>
      <c r="I332" s="4">
        <f t="shared" si="16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9">
        <f>(((L332/60)/60)/24)+DATE(1970,1,1)</f>
        <v>43077.25</v>
      </c>
      <c r="O332" s="9">
        <f t="shared" si="17"/>
        <v>43078.25</v>
      </c>
      <c r="P332" t="b">
        <v>0</v>
      </c>
      <c r="Q332" t="b">
        <v>0</v>
      </c>
      <c r="R332" t="s">
        <v>42</v>
      </c>
      <c r="S332" t="s">
        <v>2041</v>
      </c>
      <c r="T332" t="s">
        <v>2042</v>
      </c>
    </row>
    <row r="333" spans="1:20" ht="17" hidden="1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>
        <f t="shared" si="15"/>
        <v>444</v>
      </c>
      <c r="G333" t="s">
        <v>20</v>
      </c>
      <c r="H333">
        <v>190</v>
      </c>
      <c r="I333" s="4">
        <f t="shared" si="16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9">
        <f>(((L333/60)/60)/24)+DATE(1970,1,1)</f>
        <v>40896.25</v>
      </c>
      <c r="O333" s="9">
        <f t="shared" si="17"/>
        <v>40897.25</v>
      </c>
      <c r="P333" t="b">
        <v>0</v>
      </c>
      <c r="Q333" t="b">
        <v>0</v>
      </c>
      <c r="R333" t="s">
        <v>17</v>
      </c>
      <c r="S333" t="s">
        <v>2033</v>
      </c>
      <c r="T333" t="s">
        <v>2034</v>
      </c>
    </row>
    <row r="334" spans="1:20" ht="34" hidden="1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>
        <f t="shared" si="15"/>
        <v>200</v>
      </c>
      <c r="G334" t="s">
        <v>20</v>
      </c>
      <c r="H334">
        <v>470</v>
      </c>
      <c r="I334" s="4">
        <f t="shared" si="16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9">
        <f>(((L334/60)/60)/24)+DATE(1970,1,1)</f>
        <v>41361.208333333336</v>
      </c>
      <c r="O334" s="9">
        <f t="shared" si="17"/>
        <v>41362.208333333336</v>
      </c>
      <c r="P334" t="b">
        <v>0</v>
      </c>
      <c r="Q334" t="b">
        <v>0</v>
      </c>
      <c r="R334" t="s">
        <v>65</v>
      </c>
      <c r="S334" t="s">
        <v>2037</v>
      </c>
      <c r="T334" t="s">
        <v>2046</v>
      </c>
    </row>
    <row r="335" spans="1:20" ht="17" hidden="1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>
        <f t="shared" si="15"/>
        <v>124</v>
      </c>
      <c r="G335" t="s">
        <v>20</v>
      </c>
      <c r="H335">
        <v>253</v>
      </c>
      <c r="I335" s="4">
        <f t="shared" si="16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9">
        <f>(((L335/60)/60)/24)+DATE(1970,1,1)</f>
        <v>43424.25</v>
      </c>
      <c r="O335" s="9">
        <f t="shared" si="17"/>
        <v>43452.25</v>
      </c>
      <c r="P335" t="b">
        <v>0</v>
      </c>
      <c r="Q335" t="b">
        <v>0</v>
      </c>
      <c r="R335" t="s">
        <v>33</v>
      </c>
      <c r="S335" t="s">
        <v>2039</v>
      </c>
      <c r="T335" t="s">
        <v>2040</v>
      </c>
    </row>
    <row r="336" spans="1:20" ht="17" hidden="1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>
        <f t="shared" si="15"/>
        <v>187</v>
      </c>
      <c r="G336" t="s">
        <v>20</v>
      </c>
      <c r="H336">
        <v>1113</v>
      </c>
      <c r="I336" s="4">
        <f t="shared" si="16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9">
        <f>(((L336/60)/60)/24)+DATE(1970,1,1)</f>
        <v>43110.25</v>
      </c>
      <c r="O336" s="9">
        <f t="shared" si="17"/>
        <v>43117.25</v>
      </c>
      <c r="P336" t="b">
        <v>0</v>
      </c>
      <c r="Q336" t="b">
        <v>0</v>
      </c>
      <c r="R336" t="s">
        <v>23</v>
      </c>
      <c r="S336" t="s">
        <v>2035</v>
      </c>
      <c r="T336" t="s">
        <v>2036</v>
      </c>
    </row>
    <row r="337" spans="1:20" ht="17" hidden="1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>
        <f t="shared" si="15"/>
        <v>114</v>
      </c>
      <c r="G337" t="s">
        <v>20</v>
      </c>
      <c r="H337">
        <v>2283</v>
      </c>
      <c r="I337" s="4">
        <f t="shared" si="16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9">
        <f>(((L337/60)/60)/24)+DATE(1970,1,1)</f>
        <v>43784.25</v>
      </c>
      <c r="O337" s="9">
        <f t="shared" si="17"/>
        <v>43797.25</v>
      </c>
      <c r="P337" t="b">
        <v>0</v>
      </c>
      <c r="Q337" t="b">
        <v>0</v>
      </c>
      <c r="R337" t="s">
        <v>23</v>
      </c>
      <c r="S337" t="s">
        <v>2035</v>
      </c>
      <c r="T337" t="s">
        <v>2036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>
        <f t="shared" si="15"/>
        <v>97</v>
      </c>
      <c r="G338" t="s">
        <v>14</v>
      </c>
      <c r="H338">
        <v>1072</v>
      </c>
      <c r="I338" s="4">
        <f t="shared" si="16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9">
        <f>(((L338/60)/60)/24)+DATE(1970,1,1)</f>
        <v>40527.25</v>
      </c>
      <c r="O338" s="9">
        <f t="shared" si="17"/>
        <v>40528.25</v>
      </c>
      <c r="P338" t="b">
        <v>0</v>
      </c>
      <c r="Q338" t="b">
        <v>1</v>
      </c>
      <c r="R338" t="s">
        <v>23</v>
      </c>
      <c r="S338" t="s">
        <v>2035</v>
      </c>
      <c r="T338" t="s">
        <v>2036</v>
      </c>
    </row>
    <row r="339" spans="1:20" ht="17" hidden="1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>
        <f t="shared" si="15"/>
        <v>123</v>
      </c>
      <c r="G339" t="s">
        <v>20</v>
      </c>
      <c r="H339">
        <v>1095</v>
      </c>
      <c r="I339" s="4">
        <f t="shared" si="16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9">
        <f>(((L339/60)/60)/24)+DATE(1970,1,1)</f>
        <v>43780.25</v>
      </c>
      <c r="O339" s="9">
        <f t="shared" si="17"/>
        <v>43781.25</v>
      </c>
      <c r="P339" t="b">
        <v>0</v>
      </c>
      <c r="Q339" t="b">
        <v>0</v>
      </c>
      <c r="R339" t="s">
        <v>33</v>
      </c>
      <c r="S339" t="s">
        <v>2039</v>
      </c>
      <c r="T339" t="s">
        <v>2040</v>
      </c>
    </row>
    <row r="340" spans="1:20" ht="17" hidden="1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>
        <f t="shared" si="15"/>
        <v>179</v>
      </c>
      <c r="G340" t="s">
        <v>20</v>
      </c>
      <c r="H340">
        <v>1690</v>
      </c>
      <c r="I340" s="4">
        <f t="shared" si="16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9">
        <f>(((L340/60)/60)/24)+DATE(1970,1,1)</f>
        <v>40821.208333333336</v>
      </c>
      <c r="O340" s="9">
        <f t="shared" si="17"/>
        <v>40851.208333333336</v>
      </c>
      <c r="P340" t="b">
        <v>0</v>
      </c>
      <c r="Q340" t="b">
        <v>0</v>
      </c>
      <c r="R340" t="s">
        <v>33</v>
      </c>
      <c r="S340" t="s">
        <v>2039</v>
      </c>
      <c r="T340" t="s">
        <v>2040</v>
      </c>
    </row>
    <row r="341" spans="1:20" ht="17" hidden="1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>
        <f t="shared" si="15"/>
        <v>80</v>
      </c>
      <c r="G341" t="s">
        <v>74</v>
      </c>
      <c r="H341">
        <v>1297</v>
      </c>
      <c r="I341" s="4">
        <f t="shared" si="16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9">
        <f>(((L341/60)/60)/24)+DATE(1970,1,1)</f>
        <v>42949.208333333328</v>
      </c>
      <c r="O341" s="9">
        <f t="shared" si="17"/>
        <v>42963.208333333328</v>
      </c>
      <c r="P341" t="b">
        <v>0</v>
      </c>
      <c r="Q341" t="b">
        <v>0</v>
      </c>
      <c r="R341" t="s">
        <v>33</v>
      </c>
      <c r="S341" t="s">
        <v>2039</v>
      </c>
      <c r="T341" t="s">
        <v>2040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>
        <f t="shared" si="15"/>
        <v>94</v>
      </c>
      <c r="G342" t="s">
        <v>14</v>
      </c>
      <c r="H342">
        <v>393</v>
      </c>
      <c r="I342" s="4">
        <f t="shared" si="16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9">
        <f>(((L342/60)/60)/24)+DATE(1970,1,1)</f>
        <v>40889.25</v>
      </c>
      <c r="O342" s="9">
        <f t="shared" si="17"/>
        <v>40890.25</v>
      </c>
      <c r="P342" t="b">
        <v>0</v>
      </c>
      <c r="Q342" t="b">
        <v>0</v>
      </c>
      <c r="R342" t="s">
        <v>122</v>
      </c>
      <c r="S342" t="s">
        <v>2054</v>
      </c>
      <c r="T342" t="s">
        <v>2055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>
        <f t="shared" si="15"/>
        <v>85</v>
      </c>
      <c r="G343" t="s">
        <v>14</v>
      </c>
      <c r="H343">
        <v>1257</v>
      </c>
      <c r="I343" s="4">
        <f t="shared" si="16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9">
        <f>(((L343/60)/60)/24)+DATE(1970,1,1)</f>
        <v>42244.208333333328</v>
      </c>
      <c r="O343" s="9">
        <f t="shared" si="17"/>
        <v>42251.208333333328</v>
      </c>
      <c r="P343" t="b">
        <v>0</v>
      </c>
      <c r="Q343" t="b">
        <v>0</v>
      </c>
      <c r="R343" t="s">
        <v>60</v>
      </c>
      <c r="S343" t="s">
        <v>2035</v>
      </c>
      <c r="T343" t="s">
        <v>2045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>
        <f t="shared" si="15"/>
        <v>67</v>
      </c>
      <c r="G344" t="s">
        <v>14</v>
      </c>
      <c r="H344">
        <v>328</v>
      </c>
      <c r="I344" s="4">
        <f t="shared" si="16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9">
        <f>(((L344/60)/60)/24)+DATE(1970,1,1)</f>
        <v>41475.208333333336</v>
      </c>
      <c r="O344" s="9">
        <f t="shared" si="17"/>
        <v>41487.208333333336</v>
      </c>
      <c r="P344" t="b">
        <v>0</v>
      </c>
      <c r="Q344" t="b">
        <v>0</v>
      </c>
      <c r="R344" t="s">
        <v>33</v>
      </c>
      <c r="S344" t="s">
        <v>2039</v>
      </c>
      <c r="T344" t="s">
        <v>2040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>
        <f t="shared" si="15"/>
        <v>54</v>
      </c>
      <c r="G345" t="s">
        <v>14</v>
      </c>
      <c r="H345">
        <v>147</v>
      </c>
      <c r="I345" s="4">
        <f t="shared" si="16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9">
        <f>(((L345/60)/60)/24)+DATE(1970,1,1)</f>
        <v>41597.25</v>
      </c>
      <c r="O345" s="9">
        <f t="shared" si="17"/>
        <v>41650.25</v>
      </c>
      <c r="P345" t="b">
        <v>0</v>
      </c>
      <c r="Q345" t="b">
        <v>0</v>
      </c>
      <c r="R345" t="s">
        <v>33</v>
      </c>
      <c r="S345" t="s">
        <v>2039</v>
      </c>
      <c r="T345" t="s">
        <v>2040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>
        <f t="shared" si="15"/>
        <v>42</v>
      </c>
      <c r="G346" t="s">
        <v>14</v>
      </c>
      <c r="H346">
        <v>830</v>
      </c>
      <c r="I346" s="4">
        <f t="shared" si="16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9">
        <f>(((L346/60)/60)/24)+DATE(1970,1,1)</f>
        <v>43122.25</v>
      </c>
      <c r="O346" s="9">
        <f t="shared" si="17"/>
        <v>43162.25</v>
      </c>
      <c r="P346" t="b">
        <v>0</v>
      </c>
      <c r="Q346" t="b">
        <v>0</v>
      </c>
      <c r="R346" t="s">
        <v>89</v>
      </c>
      <c r="S346" t="s">
        <v>2050</v>
      </c>
      <c r="T346" t="s">
        <v>2051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>
        <f t="shared" si="15"/>
        <v>15</v>
      </c>
      <c r="G347" t="s">
        <v>14</v>
      </c>
      <c r="H347">
        <v>331</v>
      </c>
      <c r="I347" s="4">
        <f t="shared" si="16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9">
        <f>(((L347/60)/60)/24)+DATE(1970,1,1)</f>
        <v>42194.208333333328</v>
      </c>
      <c r="O347" s="9">
        <f t="shared" si="17"/>
        <v>42195.208333333328</v>
      </c>
      <c r="P347" t="b">
        <v>0</v>
      </c>
      <c r="Q347" t="b">
        <v>0</v>
      </c>
      <c r="R347" t="s">
        <v>53</v>
      </c>
      <c r="S347" t="s">
        <v>2041</v>
      </c>
      <c r="T347" t="s">
        <v>2044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>
        <f t="shared" si="15"/>
        <v>34</v>
      </c>
      <c r="G348" t="s">
        <v>14</v>
      </c>
      <c r="H348">
        <v>25</v>
      </c>
      <c r="I348" s="4">
        <f t="shared" si="16"/>
        <v>110.32</v>
      </c>
      <c r="J348" t="s">
        <v>21</v>
      </c>
      <c r="K348" t="s">
        <v>22</v>
      </c>
      <c r="L348">
        <v>1503550800</v>
      </c>
      <c r="M348">
        <v>1508302800</v>
      </c>
      <c r="N348" s="9">
        <f>(((L348/60)/60)/24)+DATE(1970,1,1)</f>
        <v>42971.208333333328</v>
      </c>
      <c r="O348" s="9">
        <f t="shared" si="17"/>
        <v>43026.208333333328</v>
      </c>
      <c r="P348" t="b">
        <v>0</v>
      </c>
      <c r="Q348" t="b">
        <v>1</v>
      </c>
      <c r="R348" t="s">
        <v>60</v>
      </c>
      <c r="S348" t="s">
        <v>2035</v>
      </c>
      <c r="T348" t="s">
        <v>2045</v>
      </c>
    </row>
    <row r="349" spans="1:20" ht="17" hidden="1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>
        <f t="shared" si="15"/>
        <v>1401</v>
      </c>
      <c r="G349" t="s">
        <v>20</v>
      </c>
      <c r="H349">
        <v>191</v>
      </c>
      <c r="I349" s="4">
        <f t="shared" si="16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9">
        <f>(((L349/60)/60)/24)+DATE(1970,1,1)</f>
        <v>42046.25</v>
      </c>
      <c r="O349" s="9">
        <f t="shared" si="17"/>
        <v>42070.25</v>
      </c>
      <c r="P349" t="b">
        <v>0</v>
      </c>
      <c r="Q349" t="b">
        <v>0</v>
      </c>
      <c r="R349" t="s">
        <v>28</v>
      </c>
      <c r="S349" t="s">
        <v>2037</v>
      </c>
      <c r="T349" t="s">
        <v>2038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>
        <f t="shared" si="15"/>
        <v>72</v>
      </c>
      <c r="G350" t="s">
        <v>14</v>
      </c>
      <c r="H350">
        <v>3483</v>
      </c>
      <c r="I350" s="4">
        <f t="shared" si="16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9">
        <f>(((L350/60)/60)/24)+DATE(1970,1,1)</f>
        <v>42782.25</v>
      </c>
      <c r="O350" s="9">
        <f t="shared" si="17"/>
        <v>42795.25</v>
      </c>
      <c r="P350" t="b">
        <v>0</v>
      </c>
      <c r="Q350" t="b">
        <v>0</v>
      </c>
      <c r="R350" t="s">
        <v>17</v>
      </c>
      <c r="S350" t="s">
        <v>2033</v>
      </c>
      <c r="T350" t="s">
        <v>2034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>
        <f t="shared" si="15"/>
        <v>53</v>
      </c>
      <c r="G351" t="s">
        <v>14</v>
      </c>
      <c r="H351">
        <v>923</v>
      </c>
      <c r="I351" s="4">
        <f t="shared" si="16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9">
        <f>(((L351/60)/60)/24)+DATE(1970,1,1)</f>
        <v>42930.208333333328</v>
      </c>
      <c r="O351" s="9">
        <f t="shared" si="17"/>
        <v>42960.208333333328</v>
      </c>
      <c r="P351" t="b">
        <v>0</v>
      </c>
      <c r="Q351" t="b">
        <v>0</v>
      </c>
      <c r="R351" t="s">
        <v>33</v>
      </c>
      <c r="S351" t="s">
        <v>2039</v>
      </c>
      <c r="T351" t="s">
        <v>2040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>
        <f t="shared" si="15"/>
        <v>5</v>
      </c>
      <c r="G352" t="s">
        <v>14</v>
      </c>
      <c r="H352">
        <v>1</v>
      </c>
      <c r="I352" s="4">
        <f t="shared" si="16"/>
        <v>5</v>
      </c>
      <c r="J352" t="s">
        <v>21</v>
      </c>
      <c r="K352" t="s">
        <v>22</v>
      </c>
      <c r="L352">
        <v>1432098000</v>
      </c>
      <c r="M352">
        <v>1433653200</v>
      </c>
      <c r="N352" s="9">
        <f>(((L352/60)/60)/24)+DATE(1970,1,1)</f>
        <v>42144.208333333328</v>
      </c>
      <c r="O352" s="9">
        <f t="shared" si="17"/>
        <v>42162.208333333328</v>
      </c>
      <c r="P352" t="b">
        <v>0</v>
      </c>
      <c r="Q352" t="b">
        <v>1</v>
      </c>
      <c r="R352" t="s">
        <v>159</v>
      </c>
      <c r="S352" t="s">
        <v>2035</v>
      </c>
      <c r="T352" t="s">
        <v>2058</v>
      </c>
    </row>
    <row r="353" spans="1:20" ht="17" hidden="1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>
        <f t="shared" si="15"/>
        <v>128</v>
      </c>
      <c r="G353" t="s">
        <v>20</v>
      </c>
      <c r="H353">
        <v>2013</v>
      </c>
      <c r="I353" s="4">
        <f t="shared" si="16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9">
        <f>(((L353/60)/60)/24)+DATE(1970,1,1)</f>
        <v>42240.208333333328</v>
      </c>
      <c r="O353" s="9">
        <f t="shared" si="17"/>
        <v>42254.208333333328</v>
      </c>
      <c r="P353" t="b">
        <v>0</v>
      </c>
      <c r="Q353" t="b">
        <v>0</v>
      </c>
      <c r="R353" t="s">
        <v>23</v>
      </c>
      <c r="S353" t="s">
        <v>2035</v>
      </c>
      <c r="T353" t="s">
        <v>2036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>
        <f t="shared" si="15"/>
        <v>35</v>
      </c>
      <c r="G354" t="s">
        <v>14</v>
      </c>
      <c r="H354">
        <v>33</v>
      </c>
      <c r="I354" s="4">
        <f t="shared" si="16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9">
        <f>(((L354/60)/60)/24)+DATE(1970,1,1)</f>
        <v>42315.25</v>
      </c>
      <c r="O354" s="9">
        <f t="shared" si="17"/>
        <v>42323.25</v>
      </c>
      <c r="P354" t="b">
        <v>0</v>
      </c>
      <c r="Q354" t="b">
        <v>0</v>
      </c>
      <c r="R354" t="s">
        <v>33</v>
      </c>
      <c r="S354" t="s">
        <v>2039</v>
      </c>
      <c r="T354" t="s">
        <v>2040</v>
      </c>
    </row>
    <row r="355" spans="1:20" ht="17" hidden="1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>
        <f t="shared" si="15"/>
        <v>411</v>
      </c>
      <c r="G355" t="s">
        <v>20</v>
      </c>
      <c r="H355">
        <v>1703</v>
      </c>
      <c r="I355" s="4">
        <f t="shared" si="16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9">
        <f>(((L355/60)/60)/24)+DATE(1970,1,1)</f>
        <v>43651.208333333328</v>
      </c>
      <c r="O355" s="9">
        <f t="shared" si="17"/>
        <v>43652.208333333328</v>
      </c>
      <c r="P355" t="b">
        <v>0</v>
      </c>
      <c r="Q355" t="b">
        <v>0</v>
      </c>
      <c r="R355" t="s">
        <v>33</v>
      </c>
      <c r="S355" t="s">
        <v>2039</v>
      </c>
      <c r="T355" t="s">
        <v>2040</v>
      </c>
    </row>
    <row r="356" spans="1:20" ht="17" hidden="1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>
        <f t="shared" si="15"/>
        <v>124</v>
      </c>
      <c r="G356" t="s">
        <v>20</v>
      </c>
      <c r="H356">
        <v>80</v>
      </c>
      <c r="I356" s="4">
        <f t="shared" si="16"/>
        <v>94.35</v>
      </c>
      <c r="J356" t="s">
        <v>36</v>
      </c>
      <c r="K356" t="s">
        <v>37</v>
      </c>
      <c r="L356">
        <v>1378184400</v>
      </c>
      <c r="M356">
        <v>1378789200</v>
      </c>
      <c r="N356" s="9">
        <f>(((L356/60)/60)/24)+DATE(1970,1,1)</f>
        <v>41520.208333333336</v>
      </c>
      <c r="O356" s="9">
        <f t="shared" si="17"/>
        <v>41527.208333333336</v>
      </c>
      <c r="P356" t="b">
        <v>0</v>
      </c>
      <c r="Q356" t="b">
        <v>0</v>
      </c>
      <c r="R356" t="s">
        <v>42</v>
      </c>
      <c r="S356" t="s">
        <v>2041</v>
      </c>
      <c r="T356" t="s">
        <v>2042</v>
      </c>
    </row>
    <row r="357" spans="1:20" ht="17" hidden="1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>
        <f t="shared" si="15"/>
        <v>59</v>
      </c>
      <c r="G357" t="s">
        <v>47</v>
      </c>
      <c r="H357">
        <v>86</v>
      </c>
      <c r="I357" s="4">
        <f t="shared" si="16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9">
        <f>(((L357/60)/60)/24)+DATE(1970,1,1)</f>
        <v>42757.25</v>
      </c>
      <c r="O357" s="9">
        <f t="shared" si="17"/>
        <v>42797.25</v>
      </c>
      <c r="P357" t="b">
        <v>0</v>
      </c>
      <c r="Q357" t="b">
        <v>0</v>
      </c>
      <c r="R357" t="s">
        <v>65</v>
      </c>
      <c r="S357" t="s">
        <v>2037</v>
      </c>
      <c r="T357" t="s">
        <v>2046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>
        <f t="shared" si="15"/>
        <v>37</v>
      </c>
      <c r="G358" t="s">
        <v>14</v>
      </c>
      <c r="H358">
        <v>40</v>
      </c>
      <c r="I358" s="4">
        <f t="shared" si="16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9">
        <f>(((L358/60)/60)/24)+DATE(1970,1,1)</f>
        <v>40922.25</v>
      </c>
      <c r="O358" s="9">
        <f t="shared" si="17"/>
        <v>40931.25</v>
      </c>
      <c r="P358" t="b">
        <v>0</v>
      </c>
      <c r="Q358" t="b">
        <v>0</v>
      </c>
      <c r="R358" t="s">
        <v>33</v>
      </c>
      <c r="S358" t="s">
        <v>2039</v>
      </c>
      <c r="T358" t="s">
        <v>2040</v>
      </c>
    </row>
    <row r="359" spans="1:20" ht="17" hidden="1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>
        <f t="shared" si="15"/>
        <v>185</v>
      </c>
      <c r="G359" t="s">
        <v>20</v>
      </c>
      <c r="H359">
        <v>41</v>
      </c>
      <c r="I359" s="4">
        <f t="shared" si="16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9">
        <f>(((L359/60)/60)/24)+DATE(1970,1,1)</f>
        <v>42250.208333333328</v>
      </c>
      <c r="O359" s="9">
        <f t="shared" si="17"/>
        <v>42275.208333333328</v>
      </c>
      <c r="P359" t="b">
        <v>0</v>
      </c>
      <c r="Q359" t="b">
        <v>0</v>
      </c>
      <c r="R359" t="s">
        <v>89</v>
      </c>
      <c r="S359" t="s">
        <v>2050</v>
      </c>
      <c r="T359" t="s">
        <v>2051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>
        <f t="shared" si="15"/>
        <v>12</v>
      </c>
      <c r="G360" t="s">
        <v>14</v>
      </c>
      <c r="H360">
        <v>23</v>
      </c>
      <c r="I360" s="4">
        <f t="shared" si="16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9">
        <f>(((L360/60)/60)/24)+DATE(1970,1,1)</f>
        <v>43322.208333333328</v>
      </c>
      <c r="O360" s="9">
        <f t="shared" si="17"/>
        <v>43325.208333333328</v>
      </c>
      <c r="P360" t="b">
        <v>1</v>
      </c>
      <c r="Q360" t="b">
        <v>0</v>
      </c>
      <c r="R360" t="s">
        <v>122</v>
      </c>
      <c r="S360" t="s">
        <v>2054</v>
      </c>
      <c r="T360" t="s">
        <v>2055</v>
      </c>
    </row>
    <row r="361" spans="1:20" ht="17" hidden="1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>
        <f t="shared" si="15"/>
        <v>299</v>
      </c>
      <c r="G361" t="s">
        <v>20</v>
      </c>
      <c r="H361">
        <v>187</v>
      </c>
      <c r="I361" s="4">
        <f t="shared" si="16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9">
        <f>(((L361/60)/60)/24)+DATE(1970,1,1)</f>
        <v>40782.208333333336</v>
      </c>
      <c r="O361" s="9">
        <f t="shared" si="17"/>
        <v>40789.208333333336</v>
      </c>
      <c r="P361" t="b">
        <v>0</v>
      </c>
      <c r="Q361" t="b">
        <v>0</v>
      </c>
      <c r="R361" t="s">
        <v>71</v>
      </c>
      <c r="S361" t="s">
        <v>2041</v>
      </c>
      <c r="T361" t="s">
        <v>2049</v>
      </c>
    </row>
    <row r="362" spans="1:20" ht="17" hidden="1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>
        <f t="shared" si="15"/>
        <v>226</v>
      </c>
      <c r="G362" t="s">
        <v>20</v>
      </c>
      <c r="H362">
        <v>2875</v>
      </c>
      <c r="I362" s="4">
        <f t="shared" si="16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9">
        <f>(((L362/60)/60)/24)+DATE(1970,1,1)</f>
        <v>40544.25</v>
      </c>
      <c r="O362" s="9">
        <f t="shared" si="17"/>
        <v>40558.25</v>
      </c>
      <c r="P362" t="b">
        <v>0</v>
      </c>
      <c r="Q362" t="b">
        <v>1</v>
      </c>
      <c r="R362" t="s">
        <v>33</v>
      </c>
      <c r="S362" t="s">
        <v>2039</v>
      </c>
      <c r="T362" t="s">
        <v>2040</v>
      </c>
    </row>
    <row r="363" spans="1:20" ht="17" hidden="1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>
        <f t="shared" si="15"/>
        <v>174</v>
      </c>
      <c r="G363" t="s">
        <v>20</v>
      </c>
      <c r="H363">
        <v>88</v>
      </c>
      <c r="I363" s="4">
        <f t="shared" si="16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9">
        <f>(((L363/60)/60)/24)+DATE(1970,1,1)</f>
        <v>43015.208333333328</v>
      </c>
      <c r="O363" s="9">
        <f t="shared" si="17"/>
        <v>43039.208333333328</v>
      </c>
      <c r="P363" t="b">
        <v>0</v>
      </c>
      <c r="Q363" t="b">
        <v>0</v>
      </c>
      <c r="R363" t="s">
        <v>33</v>
      </c>
      <c r="S363" t="s">
        <v>2039</v>
      </c>
      <c r="T363" t="s">
        <v>2040</v>
      </c>
    </row>
    <row r="364" spans="1:20" ht="17" hidden="1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>
        <f t="shared" si="15"/>
        <v>372</v>
      </c>
      <c r="G364" t="s">
        <v>20</v>
      </c>
      <c r="H364">
        <v>191</v>
      </c>
      <c r="I364" s="4">
        <f t="shared" si="16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9">
        <f>(((L364/60)/60)/24)+DATE(1970,1,1)</f>
        <v>40570.25</v>
      </c>
      <c r="O364" s="9">
        <f t="shared" si="17"/>
        <v>40608.25</v>
      </c>
      <c r="P364" t="b">
        <v>0</v>
      </c>
      <c r="Q364" t="b">
        <v>0</v>
      </c>
      <c r="R364" t="s">
        <v>23</v>
      </c>
      <c r="S364" t="s">
        <v>2035</v>
      </c>
      <c r="T364" t="s">
        <v>2036</v>
      </c>
    </row>
    <row r="365" spans="1:20" ht="17" hidden="1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>
        <f t="shared" si="15"/>
        <v>160</v>
      </c>
      <c r="G365" t="s">
        <v>20</v>
      </c>
      <c r="H365">
        <v>139</v>
      </c>
      <c r="I365" s="4">
        <f t="shared" si="16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9">
        <f>(((L365/60)/60)/24)+DATE(1970,1,1)</f>
        <v>40904.25</v>
      </c>
      <c r="O365" s="9">
        <f t="shared" si="17"/>
        <v>40905.25</v>
      </c>
      <c r="P365" t="b">
        <v>0</v>
      </c>
      <c r="Q365" t="b">
        <v>0</v>
      </c>
      <c r="R365" t="s">
        <v>23</v>
      </c>
      <c r="S365" t="s">
        <v>2035</v>
      </c>
      <c r="T365" t="s">
        <v>2036</v>
      </c>
    </row>
    <row r="366" spans="1:20" ht="17" hidden="1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>
        <f t="shared" si="15"/>
        <v>1616</v>
      </c>
      <c r="G366" t="s">
        <v>20</v>
      </c>
      <c r="H366">
        <v>186</v>
      </c>
      <c r="I366" s="4">
        <f t="shared" si="16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9">
        <f>(((L366/60)/60)/24)+DATE(1970,1,1)</f>
        <v>43164.25</v>
      </c>
      <c r="O366" s="9">
        <f t="shared" si="17"/>
        <v>43194.208333333328</v>
      </c>
      <c r="P366" t="b">
        <v>0</v>
      </c>
      <c r="Q366" t="b">
        <v>0</v>
      </c>
      <c r="R366" t="s">
        <v>60</v>
      </c>
      <c r="S366" t="s">
        <v>2035</v>
      </c>
      <c r="T366" t="s">
        <v>2045</v>
      </c>
    </row>
    <row r="367" spans="1:20" ht="17" hidden="1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>
        <f t="shared" si="15"/>
        <v>733</v>
      </c>
      <c r="G367" t="s">
        <v>20</v>
      </c>
      <c r="H367">
        <v>112</v>
      </c>
      <c r="I367" s="4">
        <f t="shared" si="16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9">
        <f>(((L367/60)/60)/24)+DATE(1970,1,1)</f>
        <v>42733.25</v>
      </c>
      <c r="O367" s="9">
        <f t="shared" si="17"/>
        <v>42760.25</v>
      </c>
      <c r="P367" t="b">
        <v>0</v>
      </c>
      <c r="Q367" t="b">
        <v>0</v>
      </c>
      <c r="R367" t="s">
        <v>33</v>
      </c>
      <c r="S367" t="s">
        <v>2039</v>
      </c>
      <c r="T367" t="s">
        <v>2040</v>
      </c>
    </row>
    <row r="368" spans="1:20" ht="17" hidden="1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>
        <f t="shared" si="15"/>
        <v>592</v>
      </c>
      <c r="G368" t="s">
        <v>20</v>
      </c>
      <c r="H368">
        <v>101</v>
      </c>
      <c r="I368" s="4">
        <f t="shared" si="16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9">
        <f>(((L368/60)/60)/24)+DATE(1970,1,1)</f>
        <v>40546.25</v>
      </c>
      <c r="O368" s="9">
        <f t="shared" si="17"/>
        <v>40547.25</v>
      </c>
      <c r="P368" t="b">
        <v>0</v>
      </c>
      <c r="Q368" t="b">
        <v>1</v>
      </c>
      <c r="R368" t="s">
        <v>33</v>
      </c>
      <c r="S368" t="s">
        <v>2039</v>
      </c>
      <c r="T368" t="s">
        <v>2040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>
        <f t="shared" si="15"/>
        <v>19</v>
      </c>
      <c r="G369" t="s">
        <v>14</v>
      </c>
      <c r="H369">
        <v>75</v>
      </c>
      <c r="I369" s="4">
        <f t="shared" si="16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9">
        <f>(((L369/60)/60)/24)+DATE(1970,1,1)</f>
        <v>41930.208333333336</v>
      </c>
      <c r="O369" s="9">
        <f t="shared" si="17"/>
        <v>41954.25</v>
      </c>
      <c r="P369" t="b">
        <v>0</v>
      </c>
      <c r="Q369" t="b">
        <v>1</v>
      </c>
      <c r="R369" t="s">
        <v>33</v>
      </c>
      <c r="S369" t="s">
        <v>2039</v>
      </c>
      <c r="T369" t="s">
        <v>2040</v>
      </c>
    </row>
    <row r="370" spans="1:20" ht="17" hidden="1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>
        <f t="shared" si="15"/>
        <v>277</v>
      </c>
      <c r="G370" t="s">
        <v>20</v>
      </c>
      <c r="H370">
        <v>206</v>
      </c>
      <c r="I370" s="4">
        <f t="shared" si="16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9">
        <f>(((L370/60)/60)/24)+DATE(1970,1,1)</f>
        <v>40464.208333333336</v>
      </c>
      <c r="O370" s="9">
        <f t="shared" si="17"/>
        <v>40487.208333333336</v>
      </c>
      <c r="P370" t="b">
        <v>0</v>
      </c>
      <c r="Q370" t="b">
        <v>1</v>
      </c>
      <c r="R370" t="s">
        <v>42</v>
      </c>
      <c r="S370" t="s">
        <v>2041</v>
      </c>
      <c r="T370" t="s">
        <v>2042</v>
      </c>
    </row>
    <row r="371" spans="1:20" ht="17" hidden="1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>
        <f t="shared" si="15"/>
        <v>273</v>
      </c>
      <c r="G371" t="s">
        <v>20</v>
      </c>
      <c r="H371">
        <v>154</v>
      </c>
      <c r="I371" s="4">
        <f t="shared" si="16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9">
        <f>(((L371/60)/60)/24)+DATE(1970,1,1)</f>
        <v>41308.25</v>
      </c>
      <c r="O371" s="9">
        <f t="shared" si="17"/>
        <v>41347.208333333336</v>
      </c>
      <c r="P371" t="b">
        <v>0</v>
      </c>
      <c r="Q371" t="b">
        <v>1</v>
      </c>
      <c r="R371" t="s">
        <v>269</v>
      </c>
      <c r="S371" t="s">
        <v>2041</v>
      </c>
      <c r="T371" t="s">
        <v>2060</v>
      </c>
    </row>
    <row r="372" spans="1:20" ht="17" hidden="1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>
        <f t="shared" si="15"/>
        <v>159</v>
      </c>
      <c r="G372" t="s">
        <v>20</v>
      </c>
      <c r="H372">
        <v>5966</v>
      </c>
      <c r="I372" s="4">
        <f t="shared" si="16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9">
        <f>(((L372/60)/60)/24)+DATE(1970,1,1)</f>
        <v>43570.208333333328</v>
      </c>
      <c r="O372" s="9">
        <f t="shared" si="17"/>
        <v>43576.208333333328</v>
      </c>
      <c r="P372" t="b">
        <v>0</v>
      </c>
      <c r="Q372" t="b">
        <v>0</v>
      </c>
      <c r="R372" t="s">
        <v>33</v>
      </c>
      <c r="S372" t="s">
        <v>2039</v>
      </c>
      <c r="T372" t="s">
        <v>2040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>
        <f t="shared" si="15"/>
        <v>68</v>
      </c>
      <c r="G373" t="s">
        <v>14</v>
      </c>
      <c r="H373">
        <v>2176</v>
      </c>
      <c r="I373" s="4">
        <f t="shared" si="16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9">
        <f>(((L373/60)/60)/24)+DATE(1970,1,1)</f>
        <v>42043.25</v>
      </c>
      <c r="O373" s="9">
        <f t="shared" si="17"/>
        <v>42094.208333333328</v>
      </c>
      <c r="P373" t="b">
        <v>0</v>
      </c>
      <c r="Q373" t="b">
        <v>0</v>
      </c>
      <c r="R373" t="s">
        <v>33</v>
      </c>
      <c r="S373" t="s">
        <v>2039</v>
      </c>
      <c r="T373" t="s">
        <v>2040</v>
      </c>
    </row>
    <row r="374" spans="1:20" ht="34" hidden="1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>
        <f t="shared" si="15"/>
        <v>1592</v>
      </c>
      <c r="G374" t="s">
        <v>20</v>
      </c>
      <c r="H374">
        <v>169</v>
      </c>
      <c r="I374" s="4">
        <f t="shared" si="16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9">
        <f>(((L374/60)/60)/24)+DATE(1970,1,1)</f>
        <v>42012.25</v>
      </c>
      <c r="O374" s="9">
        <f t="shared" si="17"/>
        <v>42032.25</v>
      </c>
      <c r="P374" t="b">
        <v>0</v>
      </c>
      <c r="Q374" t="b">
        <v>1</v>
      </c>
      <c r="R374" t="s">
        <v>42</v>
      </c>
      <c r="S374" t="s">
        <v>2041</v>
      </c>
      <c r="T374" t="s">
        <v>2042</v>
      </c>
    </row>
    <row r="375" spans="1:20" ht="17" hidden="1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>
        <f t="shared" si="15"/>
        <v>730</v>
      </c>
      <c r="G375" t="s">
        <v>20</v>
      </c>
      <c r="H375">
        <v>2106</v>
      </c>
      <c r="I375" s="4">
        <f t="shared" si="16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9">
        <f>(((L375/60)/60)/24)+DATE(1970,1,1)</f>
        <v>42964.208333333328</v>
      </c>
      <c r="O375" s="9">
        <f t="shared" si="17"/>
        <v>42972.208333333328</v>
      </c>
      <c r="P375" t="b">
        <v>0</v>
      </c>
      <c r="Q375" t="b">
        <v>0</v>
      </c>
      <c r="R375" t="s">
        <v>33</v>
      </c>
      <c r="S375" t="s">
        <v>2039</v>
      </c>
      <c r="T375" t="s">
        <v>2040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>
        <f t="shared" si="15"/>
        <v>13</v>
      </c>
      <c r="G376" t="s">
        <v>14</v>
      </c>
      <c r="H376">
        <v>441</v>
      </c>
      <c r="I376" s="4">
        <f t="shared" si="16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9">
        <f>(((L376/60)/60)/24)+DATE(1970,1,1)</f>
        <v>43476.25</v>
      </c>
      <c r="O376" s="9">
        <f t="shared" si="17"/>
        <v>43481.25</v>
      </c>
      <c r="P376" t="b">
        <v>0</v>
      </c>
      <c r="Q376" t="b">
        <v>1</v>
      </c>
      <c r="R376" t="s">
        <v>42</v>
      </c>
      <c r="S376" t="s">
        <v>2041</v>
      </c>
      <c r="T376" t="s">
        <v>2042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>
        <f t="shared" si="15"/>
        <v>55</v>
      </c>
      <c r="G377" t="s">
        <v>14</v>
      </c>
      <c r="H377">
        <v>25</v>
      </c>
      <c r="I377" s="4">
        <f t="shared" si="16"/>
        <v>59.16</v>
      </c>
      <c r="J377" t="s">
        <v>21</v>
      </c>
      <c r="K377" t="s">
        <v>22</v>
      </c>
      <c r="L377">
        <v>1444971600</v>
      </c>
      <c r="M377">
        <v>1449900000</v>
      </c>
      <c r="N377" s="9">
        <f>(((L377/60)/60)/24)+DATE(1970,1,1)</f>
        <v>42293.208333333328</v>
      </c>
      <c r="O377" s="9">
        <f t="shared" si="17"/>
        <v>42350.25</v>
      </c>
      <c r="P377" t="b">
        <v>0</v>
      </c>
      <c r="Q377" t="b">
        <v>0</v>
      </c>
      <c r="R377" t="s">
        <v>60</v>
      </c>
      <c r="S377" t="s">
        <v>2035</v>
      </c>
      <c r="T377" t="s">
        <v>2045</v>
      </c>
    </row>
    <row r="378" spans="1:20" ht="17" hidden="1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>
        <f t="shared" si="15"/>
        <v>361</v>
      </c>
      <c r="G378" t="s">
        <v>20</v>
      </c>
      <c r="H378">
        <v>131</v>
      </c>
      <c r="I378" s="4">
        <f t="shared" si="16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9">
        <f>(((L378/60)/60)/24)+DATE(1970,1,1)</f>
        <v>41826.208333333336</v>
      </c>
      <c r="O378" s="9">
        <f t="shared" si="17"/>
        <v>41832.208333333336</v>
      </c>
      <c r="P378" t="b">
        <v>0</v>
      </c>
      <c r="Q378" t="b">
        <v>0</v>
      </c>
      <c r="R378" t="s">
        <v>23</v>
      </c>
      <c r="S378" t="s">
        <v>2035</v>
      </c>
      <c r="T378" t="s">
        <v>2036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>
        <f t="shared" si="15"/>
        <v>10</v>
      </c>
      <c r="G379" t="s">
        <v>14</v>
      </c>
      <c r="H379">
        <v>127</v>
      </c>
      <c r="I379" s="4">
        <f t="shared" si="16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9">
        <f>(((L379/60)/60)/24)+DATE(1970,1,1)</f>
        <v>43760.208333333328</v>
      </c>
      <c r="O379" s="9">
        <f t="shared" si="17"/>
        <v>43774.25</v>
      </c>
      <c r="P379" t="b">
        <v>0</v>
      </c>
      <c r="Q379" t="b">
        <v>0</v>
      </c>
      <c r="R379" t="s">
        <v>33</v>
      </c>
      <c r="S379" t="s">
        <v>2039</v>
      </c>
      <c r="T379" t="s">
        <v>2040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>
        <f t="shared" si="15"/>
        <v>14</v>
      </c>
      <c r="G380" t="s">
        <v>14</v>
      </c>
      <c r="H380">
        <v>355</v>
      </c>
      <c r="I380" s="4">
        <f t="shared" si="16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9">
        <f>(((L380/60)/60)/24)+DATE(1970,1,1)</f>
        <v>43241.208333333328</v>
      </c>
      <c r="O380" s="9">
        <f t="shared" si="17"/>
        <v>43279.208333333328</v>
      </c>
      <c r="P380" t="b">
        <v>0</v>
      </c>
      <c r="Q380" t="b">
        <v>0</v>
      </c>
      <c r="R380" t="s">
        <v>42</v>
      </c>
      <c r="S380" t="s">
        <v>2041</v>
      </c>
      <c r="T380" t="s">
        <v>2042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>
        <f t="shared" si="15"/>
        <v>40</v>
      </c>
      <c r="G381" t="s">
        <v>14</v>
      </c>
      <c r="H381">
        <v>44</v>
      </c>
      <c r="I381" s="4">
        <f t="shared" si="16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9">
        <f>(((L381/60)/60)/24)+DATE(1970,1,1)</f>
        <v>40843.208333333336</v>
      </c>
      <c r="O381" s="9">
        <f t="shared" si="17"/>
        <v>40857.25</v>
      </c>
      <c r="P381" t="b">
        <v>0</v>
      </c>
      <c r="Q381" t="b">
        <v>0</v>
      </c>
      <c r="R381" t="s">
        <v>33</v>
      </c>
      <c r="S381" t="s">
        <v>2039</v>
      </c>
      <c r="T381" t="s">
        <v>2040</v>
      </c>
    </row>
    <row r="382" spans="1:20" ht="34" hidden="1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>
        <f t="shared" si="15"/>
        <v>160</v>
      </c>
      <c r="G382" t="s">
        <v>20</v>
      </c>
      <c r="H382">
        <v>84</v>
      </c>
      <c r="I382" s="4">
        <f t="shared" si="16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9">
        <f>(((L382/60)/60)/24)+DATE(1970,1,1)</f>
        <v>41448.208333333336</v>
      </c>
      <c r="O382" s="9">
        <f t="shared" si="17"/>
        <v>41453.208333333336</v>
      </c>
      <c r="P382" t="b">
        <v>0</v>
      </c>
      <c r="Q382" t="b">
        <v>0</v>
      </c>
      <c r="R382" t="s">
        <v>33</v>
      </c>
      <c r="S382" t="s">
        <v>2039</v>
      </c>
      <c r="T382" t="s">
        <v>2040</v>
      </c>
    </row>
    <row r="383" spans="1:20" ht="17" hidden="1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>
        <f t="shared" si="15"/>
        <v>184</v>
      </c>
      <c r="G383" t="s">
        <v>20</v>
      </c>
      <c r="H383">
        <v>155</v>
      </c>
      <c r="I383" s="4">
        <f t="shared" si="16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9">
        <f>(((L383/60)/60)/24)+DATE(1970,1,1)</f>
        <v>42163.208333333328</v>
      </c>
      <c r="O383" s="9">
        <f t="shared" si="17"/>
        <v>42209.208333333328</v>
      </c>
      <c r="P383" t="b">
        <v>0</v>
      </c>
      <c r="Q383" t="b">
        <v>0</v>
      </c>
      <c r="R383" t="s">
        <v>33</v>
      </c>
      <c r="S383" t="s">
        <v>2039</v>
      </c>
      <c r="T383" t="s">
        <v>2040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>
        <f t="shared" si="15"/>
        <v>64</v>
      </c>
      <c r="G384" t="s">
        <v>14</v>
      </c>
      <c r="H384">
        <v>67</v>
      </c>
      <c r="I384" s="4">
        <f t="shared" si="16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9">
        <f>(((L384/60)/60)/24)+DATE(1970,1,1)</f>
        <v>43024.208333333328</v>
      </c>
      <c r="O384" s="9">
        <f t="shared" si="17"/>
        <v>43043.208333333328</v>
      </c>
      <c r="P384" t="b">
        <v>0</v>
      </c>
      <c r="Q384" t="b">
        <v>0</v>
      </c>
      <c r="R384" t="s">
        <v>122</v>
      </c>
      <c r="S384" t="s">
        <v>2054</v>
      </c>
      <c r="T384" t="s">
        <v>2055</v>
      </c>
    </row>
    <row r="385" spans="1:20" ht="17" hidden="1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>
        <f t="shared" si="15"/>
        <v>225</v>
      </c>
      <c r="G385" t="s">
        <v>20</v>
      </c>
      <c r="H385">
        <v>189</v>
      </c>
      <c r="I385" s="4">
        <f t="shared" si="16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9">
        <f>(((L385/60)/60)/24)+DATE(1970,1,1)</f>
        <v>43509.25</v>
      </c>
      <c r="O385" s="9">
        <f t="shared" si="17"/>
        <v>43515.25</v>
      </c>
      <c r="P385" t="b">
        <v>0</v>
      </c>
      <c r="Q385" t="b">
        <v>1</v>
      </c>
      <c r="R385" t="s">
        <v>17</v>
      </c>
      <c r="S385" t="s">
        <v>2033</v>
      </c>
      <c r="T385" t="s">
        <v>2034</v>
      </c>
    </row>
    <row r="386" spans="1:20" ht="17" hidden="1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>
        <f t="shared" si="15"/>
        <v>172</v>
      </c>
      <c r="G386" t="s">
        <v>20</v>
      </c>
      <c r="H386">
        <v>4799</v>
      </c>
      <c r="I386" s="4">
        <f t="shared" si="16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9">
        <f>(((L386/60)/60)/24)+DATE(1970,1,1)</f>
        <v>42776.25</v>
      </c>
      <c r="O386" s="9">
        <f t="shared" si="17"/>
        <v>42803.25</v>
      </c>
      <c r="P386" t="b">
        <v>1</v>
      </c>
      <c r="Q386" t="b">
        <v>1</v>
      </c>
      <c r="R386" t="s">
        <v>42</v>
      </c>
      <c r="S386" t="s">
        <v>2041</v>
      </c>
      <c r="T386" t="s">
        <v>2042</v>
      </c>
    </row>
    <row r="387" spans="1:20" ht="34" hidden="1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>
        <f t="shared" ref="F387:F450" si="18">ROUND(E387/D387*100,0)</f>
        <v>146</v>
      </c>
      <c r="G387" t="s">
        <v>20</v>
      </c>
      <c r="H387">
        <v>1137</v>
      </c>
      <c r="I387" s="4">
        <f t="shared" ref="I387:I450" si="19">AVERAGE(E387/H387)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9">
        <f>(((L387/60)/60)/24)+DATE(1970,1,1)</f>
        <v>43553.208333333328</v>
      </c>
      <c r="O387" s="9">
        <f t="shared" ref="O387:O450" si="20">(((M387/60)/60)/24)+DATE(1970,1,1)</f>
        <v>43585.208333333328</v>
      </c>
      <c r="P387" t="b">
        <v>0</v>
      </c>
      <c r="Q387" t="b">
        <v>0</v>
      </c>
      <c r="R387" t="s">
        <v>68</v>
      </c>
      <c r="S387" t="s">
        <v>2047</v>
      </c>
      <c r="T387" t="s">
        <v>2048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>
        <f t="shared" si="18"/>
        <v>76</v>
      </c>
      <c r="G388" t="s">
        <v>14</v>
      </c>
      <c r="H388">
        <v>1068</v>
      </c>
      <c r="I388" s="4">
        <f t="shared" si="19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9">
        <f>(((L388/60)/60)/24)+DATE(1970,1,1)</f>
        <v>40355.208333333336</v>
      </c>
      <c r="O388" s="9">
        <f t="shared" si="20"/>
        <v>40367.208333333336</v>
      </c>
      <c r="P388" t="b">
        <v>0</v>
      </c>
      <c r="Q388" t="b">
        <v>0</v>
      </c>
      <c r="R388" t="s">
        <v>33</v>
      </c>
      <c r="S388" t="s">
        <v>2039</v>
      </c>
      <c r="T388" t="s">
        <v>2040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>
        <f t="shared" si="18"/>
        <v>39</v>
      </c>
      <c r="G389" t="s">
        <v>14</v>
      </c>
      <c r="H389">
        <v>424</v>
      </c>
      <c r="I389" s="4">
        <f t="shared" si="19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9">
        <f>(((L389/60)/60)/24)+DATE(1970,1,1)</f>
        <v>41072.208333333336</v>
      </c>
      <c r="O389" s="9">
        <f t="shared" si="20"/>
        <v>41077.208333333336</v>
      </c>
      <c r="P389" t="b">
        <v>0</v>
      </c>
      <c r="Q389" t="b">
        <v>0</v>
      </c>
      <c r="R389" t="s">
        <v>65</v>
      </c>
      <c r="S389" t="s">
        <v>2037</v>
      </c>
      <c r="T389" t="s">
        <v>2046</v>
      </c>
    </row>
    <row r="390" spans="1:20" ht="17" hidden="1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>
        <f t="shared" si="18"/>
        <v>11</v>
      </c>
      <c r="G390" t="s">
        <v>74</v>
      </c>
      <c r="H390">
        <v>145</v>
      </c>
      <c r="I390" s="4">
        <f t="shared" si="19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9">
        <f>(((L390/60)/60)/24)+DATE(1970,1,1)</f>
        <v>40912.25</v>
      </c>
      <c r="O390" s="9">
        <f t="shared" si="20"/>
        <v>40914.25</v>
      </c>
      <c r="P390" t="b">
        <v>0</v>
      </c>
      <c r="Q390" t="b">
        <v>0</v>
      </c>
      <c r="R390" t="s">
        <v>60</v>
      </c>
      <c r="S390" t="s">
        <v>2035</v>
      </c>
      <c r="T390" t="s">
        <v>2045</v>
      </c>
    </row>
    <row r="391" spans="1:20" ht="17" hidden="1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>
        <f t="shared" si="18"/>
        <v>122</v>
      </c>
      <c r="G391" t="s">
        <v>20</v>
      </c>
      <c r="H391">
        <v>1152</v>
      </c>
      <c r="I391" s="4">
        <f t="shared" si="19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9">
        <f>(((L391/60)/60)/24)+DATE(1970,1,1)</f>
        <v>40479.208333333336</v>
      </c>
      <c r="O391" s="9">
        <f t="shared" si="20"/>
        <v>40506.25</v>
      </c>
      <c r="P391" t="b">
        <v>0</v>
      </c>
      <c r="Q391" t="b">
        <v>0</v>
      </c>
      <c r="R391" t="s">
        <v>33</v>
      </c>
      <c r="S391" t="s">
        <v>2039</v>
      </c>
      <c r="T391" t="s">
        <v>2040</v>
      </c>
    </row>
    <row r="392" spans="1:20" ht="17" hidden="1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>
        <f t="shared" si="18"/>
        <v>187</v>
      </c>
      <c r="G392" t="s">
        <v>20</v>
      </c>
      <c r="H392">
        <v>50</v>
      </c>
      <c r="I392" s="4">
        <f t="shared" si="19"/>
        <v>89.54</v>
      </c>
      <c r="J392" t="s">
        <v>21</v>
      </c>
      <c r="K392" t="s">
        <v>22</v>
      </c>
      <c r="L392">
        <v>1379048400</v>
      </c>
      <c r="M392">
        <v>1380344400</v>
      </c>
      <c r="N392" s="9">
        <f>(((L392/60)/60)/24)+DATE(1970,1,1)</f>
        <v>41530.208333333336</v>
      </c>
      <c r="O392" s="9">
        <f t="shared" si="20"/>
        <v>41545.208333333336</v>
      </c>
      <c r="P392" t="b">
        <v>0</v>
      </c>
      <c r="Q392" t="b">
        <v>0</v>
      </c>
      <c r="R392" t="s">
        <v>122</v>
      </c>
      <c r="S392" t="s">
        <v>2054</v>
      </c>
      <c r="T392" t="s">
        <v>2055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>
        <f t="shared" si="18"/>
        <v>7</v>
      </c>
      <c r="G393" t="s">
        <v>14</v>
      </c>
      <c r="H393">
        <v>151</v>
      </c>
      <c r="I393" s="4">
        <f t="shared" si="19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9">
        <f>(((L393/60)/60)/24)+DATE(1970,1,1)</f>
        <v>41653.25</v>
      </c>
      <c r="O393" s="9">
        <f t="shared" si="20"/>
        <v>41655.25</v>
      </c>
      <c r="P393" t="b">
        <v>0</v>
      </c>
      <c r="Q393" t="b">
        <v>0</v>
      </c>
      <c r="R393" t="s">
        <v>68</v>
      </c>
      <c r="S393" t="s">
        <v>2047</v>
      </c>
      <c r="T393" t="s">
        <v>2048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>
        <f t="shared" si="18"/>
        <v>66</v>
      </c>
      <c r="G394" t="s">
        <v>14</v>
      </c>
      <c r="H394">
        <v>1608</v>
      </c>
      <c r="I394" s="4">
        <f t="shared" si="19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9">
        <f>(((L394/60)/60)/24)+DATE(1970,1,1)</f>
        <v>40549.25</v>
      </c>
      <c r="O394" s="9">
        <f t="shared" si="20"/>
        <v>40551.25</v>
      </c>
      <c r="P394" t="b">
        <v>0</v>
      </c>
      <c r="Q394" t="b">
        <v>0</v>
      </c>
      <c r="R394" t="s">
        <v>65</v>
      </c>
      <c r="S394" t="s">
        <v>2037</v>
      </c>
      <c r="T394" t="s">
        <v>2046</v>
      </c>
    </row>
    <row r="395" spans="1:20" ht="17" hidden="1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>
        <f t="shared" si="18"/>
        <v>229</v>
      </c>
      <c r="G395" t="s">
        <v>20</v>
      </c>
      <c r="H395">
        <v>3059</v>
      </c>
      <c r="I395" s="4">
        <f t="shared" si="19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9">
        <f>(((L395/60)/60)/24)+DATE(1970,1,1)</f>
        <v>42933.208333333328</v>
      </c>
      <c r="O395" s="9">
        <f t="shared" si="20"/>
        <v>42934.208333333328</v>
      </c>
      <c r="P395" t="b">
        <v>0</v>
      </c>
      <c r="Q395" t="b">
        <v>0</v>
      </c>
      <c r="R395" t="s">
        <v>159</v>
      </c>
      <c r="S395" t="s">
        <v>2035</v>
      </c>
      <c r="T395" t="s">
        <v>2058</v>
      </c>
    </row>
    <row r="396" spans="1:20" ht="17" hidden="1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>
        <f t="shared" si="18"/>
        <v>469</v>
      </c>
      <c r="G396" t="s">
        <v>20</v>
      </c>
      <c r="H396">
        <v>34</v>
      </c>
      <c r="I396" s="4">
        <f t="shared" si="19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9">
        <f>(((L396/60)/60)/24)+DATE(1970,1,1)</f>
        <v>41484.208333333336</v>
      </c>
      <c r="O396" s="9">
        <f t="shared" si="20"/>
        <v>41494.208333333336</v>
      </c>
      <c r="P396" t="b">
        <v>0</v>
      </c>
      <c r="Q396" t="b">
        <v>1</v>
      </c>
      <c r="R396" t="s">
        <v>42</v>
      </c>
      <c r="S396" t="s">
        <v>2041</v>
      </c>
      <c r="T396" t="s">
        <v>2042</v>
      </c>
    </row>
    <row r="397" spans="1:20" ht="34" hidden="1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>
        <f t="shared" si="18"/>
        <v>130</v>
      </c>
      <c r="G397" t="s">
        <v>20</v>
      </c>
      <c r="H397">
        <v>220</v>
      </c>
      <c r="I397" s="4">
        <f t="shared" si="19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9">
        <f>(((L397/60)/60)/24)+DATE(1970,1,1)</f>
        <v>40885.25</v>
      </c>
      <c r="O397" s="9">
        <f t="shared" si="20"/>
        <v>40886.25</v>
      </c>
      <c r="P397" t="b">
        <v>1</v>
      </c>
      <c r="Q397" t="b">
        <v>0</v>
      </c>
      <c r="R397" t="s">
        <v>33</v>
      </c>
      <c r="S397" t="s">
        <v>2039</v>
      </c>
      <c r="T397" t="s">
        <v>2040</v>
      </c>
    </row>
    <row r="398" spans="1:20" ht="17" hidden="1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>
        <f t="shared" si="18"/>
        <v>167</v>
      </c>
      <c r="G398" t="s">
        <v>20</v>
      </c>
      <c r="H398">
        <v>1604</v>
      </c>
      <c r="I398" s="4">
        <f t="shared" si="19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9">
        <f>(((L398/60)/60)/24)+DATE(1970,1,1)</f>
        <v>43378.208333333328</v>
      </c>
      <c r="O398" s="9">
        <f t="shared" si="20"/>
        <v>43386.208333333328</v>
      </c>
      <c r="P398" t="b">
        <v>0</v>
      </c>
      <c r="Q398" t="b">
        <v>0</v>
      </c>
      <c r="R398" t="s">
        <v>53</v>
      </c>
      <c r="S398" t="s">
        <v>2041</v>
      </c>
      <c r="T398" t="s">
        <v>2044</v>
      </c>
    </row>
    <row r="399" spans="1:20" ht="17" hidden="1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>
        <f t="shared" si="18"/>
        <v>174</v>
      </c>
      <c r="G399" t="s">
        <v>20</v>
      </c>
      <c r="H399">
        <v>454</v>
      </c>
      <c r="I399" s="4">
        <f t="shared" si="19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9">
        <f>(((L399/60)/60)/24)+DATE(1970,1,1)</f>
        <v>41417.208333333336</v>
      </c>
      <c r="O399" s="9">
        <f t="shared" si="20"/>
        <v>41423.208333333336</v>
      </c>
      <c r="P399" t="b">
        <v>0</v>
      </c>
      <c r="Q399" t="b">
        <v>0</v>
      </c>
      <c r="R399" t="s">
        <v>23</v>
      </c>
      <c r="S399" t="s">
        <v>2035</v>
      </c>
      <c r="T399" t="s">
        <v>2036</v>
      </c>
    </row>
    <row r="400" spans="1:20" ht="34" hidden="1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>
        <f t="shared" si="18"/>
        <v>718</v>
      </c>
      <c r="G400" t="s">
        <v>20</v>
      </c>
      <c r="H400">
        <v>123</v>
      </c>
      <c r="I400" s="4">
        <f t="shared" si="19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9">
        <f>(((L400/60)/60)/24)+DATE(1970,1,1)</f>
        <v>43228.208333333328</v>
      </c>
      <c r="O400" s="9">
        <f t="shared" si="20"/>
        <v>43230.208333333328</v>
      </c>
      <c r="P400" t="b">
        <v>0</v>
      </c>
      <c r="Q400" t="b">
        <v>1</v>
      </c>
      <c r="R400" t="s">
        <v>71</v>
      </c>
      <c r="S400" t="s">
        <v>2041</v>
      </c>
      <c r="T400" t="s">
        <v>2049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>
        <f t="shared" si="18"/>
        <v>64</v>
      </c>
      <c r="G401" t="s">
        <v>14</v>
      </c>
      <c r="H401">
        <v>941</v>
      </c>
      <c r="I401" s="4">
        <f t="shared" si="19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9">
        <f>(((L401/60)/60)/24)+DATE(1970,1,1)</f>
        <v>40576.25</v>
      </c>
      <c r="O401" s="9">
        <f t="shared" si="20"/>
        <v>40583.25</v>
      </c>
      <c r="P401" t="b">
        <v>0</v>
      </c>
      <c r="Q401" t="b">
        <v>0</v>
      </c>
      <c r="R401" t="s">
        <v>60</v>
      </c>
      <c r="S401" t="s">
        <v>2035</v>
      </c>
      <c r="T401" t="s">
        <v>2045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>
        <f t="shared" si="18"/>
        <v>2</v>
      </c>
      <c r="G402" t="s">
        <v>14</v>
      </c>
      <c r="H402">
        <v>1</v>
      </c>
      <c r="I402" s="4">
        <f t="shared" si="19"/>
        <v>2</v>
      </c>
      <c r="J402" t="s">
        <v>21</v>
      </c>
      <c r="K402" t="s">
        <v>22</v>
      </c>
      <c r="L402">
        <v>1376629200</v>
      </c>
      <c r="M402">
        <v>1378530000</v>
      </c>
      <c r="N402" s="9">
        <f>(((L402/60)/60)/24)+DATE(1970,1,1)</f>
        <v>41502.208333333336</v>
      </c>
      <c r="O402" s="9">
        <f t="shared" si="20"/>
        <v>41524.208333333336</v>
      </c>
      <c r="P402" t="b">
        <v>0</v>
      </c>
      <c r="Q402" t="b">
        <v>1</v>
      </c>
      <c r="R402" t="s">
        <v>122</v>
      </c>
      <c r="S402" t="s">
        <v>2054</v>
      </c>
      <c r="T402" t="s">
        <v>2055</v>
      </c>
    </row>
    <row r="403" spans="1:20" ht="17" hidden="1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>
        <f t="shared" si="18"/>
        <v>1530</v>
      </c>
      <c r="G403" t="s">
        <v>20</v>
      </c>
      <c r="H403">
        <v>299</v>
      </c>
      <c r="I403" s="4">
        <f t="shared" si="19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9">
        <f>(((L403/60)/60)/24)+DATE(1970,1,1)</f>
        <v>43765.208333333328</v>
      </c>
      <c r="O403" s="9">
        <f t="shared" si="20"/>
        <v>43765.208333333328</v>
      </c>
      <c r="P403" t="b">
        <v>0</v>
      </c>
      <c r="Q403" t="b">
        <v>0</v>
      </c>
      <c r="R403" t="s">
        <v>33</v>
      </c>
      <c r="S403" t="s">
        <v>2039</v>
      </c>
      <c r="T403" t="s">
        <v>2040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>
        <f t="shared" si="18"/>
        <v>40</v>
      </c>
      <c r="G404" t="s">
        <v>14</v>
      </c>
      <c r="H404">
        <v>40</v>
      </c>
      <c r="I404" s="4">
        <f t="shared" si="19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9">
        <f>(((L404/60)/60)/24)+DATE(1970,1,1)</f>
        <v>40914.25</v>
      </c>
      <c r="O404" s="9">
        <f t="shared" si="20"/>
        <v>40961.25</v>
      </c>
      <c r="P404" t="b">
        <v>0</v>
      </c>
      <c r="Q404" t="b">
        <v>1</v>
      </c>
      <c r="R404" t="s">
        <v>100</v>
      </c>
      <c r="S404" t="s">
        <v>2041</v>
      </c>
      <c r="T404" t="s">
        <v>2052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>
        <f t="shared" si="18"/>
        <v>86</v>
      </c>
      <c r="G405" t="s">
        <v>14</v>
      </c>
      <c r="H405">
        <v>3015</v>
      </c>
      <c r="I405" s="4">
        <f t="shared" si="19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9">
        <f>(((L405/60)/60)/24)+DATE(1970,1,1)</f>
        <v>40310.208333333336</v>
      </c>
      <c r="O405" s="9">
        <f t="shared" si="20"/>
        <v>40346.208333333336</v>
      </c>
      <c r="P405" t="b">
        <v>0</v>
      </c>
      <c r="Q405" t="b">
        <v>1</v>
      </c>
      <c r="R405" t="s">
        <v>33</v>
      </c>
      <c r="S405" t="s">
        <v>2039</v>
      </c>
      <c r="T405" t="s">
        <v>2040</v>
      </c>
    </row>
    <row r="406" spans="1:20" ht="17" hidden="1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>
        <f t="shared" si="18"/>
        <v>316</v>
      </c>
      <c r="G406" t="s">
        <v>20</v>
      </c>
      <c r="H406">
        <v>2237</v>
      </c>
      <c r="I406" s="4">
        <f t="shared" si="19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9">
        <f>(((L406/60)/60)/24)+DATE(1970,1,1)</f>
        <v>43053.25</v>
      </c>
      <c r="O406" s="9">
        <f t="shared" si="20"/>
        <v>43056.25</v>
      </c>
      <c r="P406" t="b">
        <v>0</v>
      </c>
      <c r="Q406" t="b">
        <v>0</v>
      </c>
      <c r="R406" t="s">
        <v>33</v>
      </c>
      <c r="S406" t="s">
        <v>2039</v>
      </c>
      <c r="T406" t="s">
        <v>2040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>
        <f t="shared" si="18"/>
        <v>90</v>
      </c>
      <c r="G407" t="s">
        <v>14</v>
      </c>
      <c r="H407">
        <v>435</v>
      </c>
      <c r="I407" s="4">
        <f t="shared" si="19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9">
        <f>(((L407/60)/60)/24)+DATE(1970,1,1)</f>
        <v>43255.208333333328</v>
      </c>
      <c r="O407" s="9">
        <f t="shared" si="20"/>
        <v>43305.208333333328</v>
      </c>
      <c r="P407" t="b">
        <v>0</v>
      </c>
      <c r="Q407" t="b">
        <v>0</v>
      </c>
      <c r="R407" t="s">
        <v>33</v>
      </c>
      <c r="S407" t="s">
        <v>2039</v>
      </c>
      <c r="T407" t="s">
        <v>2040</v>
      </c>
    </row>
    <row r="408" spans="1:20" ht="17" hidden="1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>
        <f t="shared" si="18"/>
        <v>182</v>
      </c>
      <c r="G408" t="s">
        <v>20</v>
      </c>
      <c r="H408">
        <v>645</v>
      </c>
      <c r="I408" s="4">
        <f t="shared" si="19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9">
        <f>(((L408/60)/60)/24)+DATE(1970,1,1)</f>
        <v>41304.25</v>
      </c>
      <c r="O408" s="9">
        <f t="shared" si="20"/>
        <v>41316.25</v>
      </c>
      <c r="P408" t="b">
        <v>1</v>
      </c>
      <c r="Q408" t="b">
        <v>0</v>
      </c>
      <c r="R408" t="s">
        <v>42</v>
      </c>
      <c r="S408" t="s">
        <v>2041</v>
      </c>
      <c r="T408" t="s">
        <v>2042</v>
      </c>
    </row>
    <row r="409" spans="1:20" ht="17" hidden="1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>
        <f t="shared" si="18"/>
        <v>356</v>
      </c>
      <c r="G409" t="s">
        <v>20</v>
      </c>
      <c r="H409">
        <v>484</v>
      </c>
      <c r="I409" s="4">
        <f t="shared" si="19"/>
        <v>25</v>
      </c>
      <c r="J409" t="s">
        <v>36</v>
      </c>
      <c r="K409" t="s">
        <v>37</v>
      </c>
      <c r="L409">
        <v>1570942800</v>
      </c>
      <c r="M409">
        <v>1571547600</v>
      </c>
      <c r="N409" s="9">
        <f>(((L409/60)/60)/24)+DATE(1970,1,1)</f>
        <v>43751.208333333328</v>
      </c>
      <c r="O409" s="9">
        <f t="shared" si="20"/>
        <v>43758.208333333328</v>
      </c>
      <c r="P409" t="b">
        <v>0</v>
      </c>
      <c r="Q409" t="b">
        <v>0</v>
      </c>
      <c r="R409" t="s">
        <v>33</v>
      </c>
      <c r="S409" t="s">
        <v>2039</v>
      </c>
      <c r="T409" t="s">
        <v>2040</v>
      </c>
    </row>
    <row r="410" spans="1:20" ht="17" hidden="1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>
        <f t="shared" si="18"/>
        <v>132</v>
      </c>
      <c r="G410" t="s">
        <v>20</v>
      </c>
      <c r="H410">
        <v>154</v>
      </c>
      <c r="I410" s="4">
        <f t="shared" si="19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9">
        <f>(((L410/60)/60)/24)+DATE(1970,1,1)</f>
        <v>42541.208333333328</v>
      </c>
      <c r="O410" s="9">
        <f t="shared" si="20"/>
        <v>42561.208333333328</v>
      </c>
      <c r="P410" t="b">
        <v>0</v>
      </c>
      <c r="Q410" t="b">
        <v>0</v>
      </c>
      <c r="R410" t="s">
        <v>42</v>
      </c>
      <c r="S410" t="s">
        <v>2041</v>
      </c>
      <c r="T410" t="s">
        <v>2042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>
        <f t="shared" si="18"/>
        <v>46</v>
      </c>
      <c r="G411" t="s">
        <v>14</v>
      </c>
      <c r="H411">
        <v>714</v>
      </c>
      <c r="I411" s="4">
        <f t="shared" si="19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9">
        <f>(((L411/60)/60)/24)+DATE(1970,1,1)</f>
        <v>42843.208333333328</v>
      </c>
      <c r="O411" s="9">
        <f t="shared" si="20"/>
        <v>42847.208333333328</v>
      </c>
      <c r="P411" t="b">
        <v>0</v>
      </c>
      <c r="Q411" t="b">
        <v>0</v>
      </c>
      <c r="R411" t="s">
        <v>23</v>
      </c>
      <c r="S411" t="s">
        <v>2035</v>
      </c>
      <c r="T411" t="s">
        <v>2036</v>
      </c>
    </row>
    <row r="412" spans="1:20" ht="17" hidden="1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>
        <f t="shared" si="18"/>
        <v>36</v>
      </c>
      <c r="G412" t="s">
        <v>47</v>
      </c>
      <c r="H412">
        <v>1111</v>
      </c>
      <c r="I412" s="4">
        <f t="shared" si="19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9">
        <f>(((L412/60)/60)/24)+DATE(1970,1,1)</f>
        <v>42122.208333333328</v>
      </c>
      <c r="O412" s="9">
        <f t="shared" si="20"/>
        <v>42122.208333333328</v>
      </c>
      <c r="P412" t="b">
        <v>0</v>
      </c>
      <c r="Q412" t="b">
        <v>0</v>
      </c>
      <c r="R412" t="s">
        <v>292</v>
      </c>
      <c r="S412" t="s">
        <v>2050</v>
      </c>
      <c r="T412" t="s">
        <v>2061</v>
      </c>
    </row>
    <row r="413" spans="1:20" ht="17" hidden="1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>
        <f t="shared" si="18"/>
        <v>105</v>
      </c>
      <c r="G413" t="s">
        <v>20</v>
      </c>
      <c r="H413">
        <v>82</v>
      </c>
      <c r="I413" s="4">
        <f t="shared" si="19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9">
        <f>(((L413/60)/60)/24)+DATE(1970,1,1)</f>
        <v>42884.208333333328</v>
      </c>
      <c r="O413" s="9">
        <f t="shared" si="20"/>
        <v>42886.208333333328</v>
      </c>
      <c r="P413" t="b">
        <v>0</v>
      </c>
      <c r="Q413" t="b">
        <v>0</v>
      </c>
      <c r="R413" t="s">
        <v>33</v>
      </c>
      <c r="S413" t="s">
        <v>2039</v>
      </c>
      <c r="T413" t="s">
        <v>2040</v>
      </c>
    </row>
    <row r="414" spans="1:20" ht="17" hidden="1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>
        <f t="shared" si="18"/>
        <v>669</v>
      </c>
      <c r="G414" t="s">
        <v>20</v>
      </c>
      <c r="H414">
        <v>134</v>
      </c>
      <c r="I414" s="4">
        <f t="shared" si="19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9">
        <f>(((L414/60)/60)/24)+DATE(1970,1,1)</f>
        <v>41642.25</v>
      </c>
      <c r="O414" s="9">
        <f t="shared" si="20"/>
        <v>41652.25</v>
      </c>
      <c r="P414" t="b">
        <v>0</v>
      </c>
      <c r="Q414" t="b">
        <v>0</v>
      </c>
      <c r="R414" t="s">
        <v>119</v>
      </c>
      <c r="S414" t="s">
        <v>2047</v>
      </c>
      <c r="T414" t="s">
        <v>2053</v>
      </c>
    </row>
    <row r="415" spans="1:20" ht="17" hidden="1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>
        <f t="shared" si="18"/>
        <v>62</v>
      </c>
      <c r="G415" t="s">
        <v>47</v>
      </c>
      <c r="H415">
        <v>1089</v>
      </c>
      <c r="I415" s="4">
        <f t="shared" si="19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9">
        <f>(((L415/60)/60)/24)+DATE(1970,1,1)</f>
        <v>43431.25</v>
      </c>
      <c r="O415" s="9">
        <f t="shared" si="20"/>
        <v>43458.25</v>
      </c>
      <c r="P415" t="b">
        <v>0</v>
      </c>
      <c r="Q415" t="b">
        <v>0</v>
      </c>
      <c r="R415" t="s">
        <v>71</v>
      </c>
      <c r="S415" t="s">
        <v>2041</v>
      </c>
      <c r="T415" t="s">
        <v>2049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>
        <f t="shared" si="18"/>
        <v>85</v>
      </c>
      <c r="G416" t="s">
        <v>14</v>
      </c>
      <c r="H416">
        <v>5497</v>
      </c>
      <c r="I416" s="4">
        <f t="shared" si="19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9">
        <f>(((L416/60)/60)/24)+DATE(1970,1,1)</f>
        <v>40288.208333333336</v>
      </c>
      <c r="O416" s="9">
        <f t="shared" si="20"/>
        <v>40296.208333333336</v>
      </c>
      <c r="P416" t="b">
        <v>0</v>
      </c>
      <c r="Q416" t="b">
        <v>1</v>
      </c>
      <c r="R416" t="s">
        <v>17</v>
      </c>
      <c r="S416" t="s">
        <v>2033</v>
      </c>
      <c r="T416" t="s">
        <v>2034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>
        <f t="shared" si="18"/>
        <v>11</v>
      </c>
      <c r="G417" t="s">
        <v>14</v>
      </c>
      <c r="H417">
        <v>418</v>
      </c>
      <c r="I417" s="4">
        <f t="shared" si="19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9">
        <f>(((L417/60)/60)/24)+DATE(1970,1,1)</f>
        <v>40921.25</v>
      </c>
      <c r="O417" s="9">
        <f t="shared" si="20"/>
        <v>40938.25</v>
      </c>
      <c r="P417" t="b">
        <v>0</v>
      </c>
      <c r="Q417" t="b">
        <v>0</v>
      </c>
      <c r="R417" t="s">
        <v>33</v>
      </c>
      <c r="S417" t="s">
        <v>2039</v>
      </c>
      <c r="T417" t="s">
        <v>2040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>
        <f t="shared" si="18"/>
        <v>44</v>
      </c>
      <c r="G418" t="s">
        <v>14</v>
      </c>
      <c r="H418">
        <v>1439</v>
      </c>
      <c r="I418" s="4">
        <f t="shared" si="19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9">
        <f>(((L418/60)/60)/24)+DATE(1970,1,1)</f>
        <v>40560.25</v>
      </c>
      <c r="O418" s="9">
        <f t="shared" si="20"/>
        <v>40569.25</v>
      </c>
      <c r="P418" t="b">
        <v>0</v>
      </c>
      <c r="Q418" t="b">
        <v>1</v>
      </c>
      <c r="R418" t="s">
        <v>42</v>
      </c>
      <c r="S418" t="s">
        <v>2041</v>
      </c>
      <c r="T418" t="s">
        <v>2042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>
        <f t="shared" si="18"/>
        <v>55</v>
      </c>
      <c r="G419" t="s">
        <v>14</v>
      </c>
      <c r="H419">
        <v>15</v>
      </c>
      <c r="I419" s="4">
        <f t="shared" si="19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9">
        <f>(((L419/60)/60)/24)+DATE(1970,1,1)</f>
        <v>43407.208333333328</v>
      </c>
      <c r="O419" s="9">
        <f t="shared" si="20"/>
        <v>43431.25</v>
      </c>
      <c r="P419" t="b">
        <v>0</v>
      </c>
      <c r="Q419" t="b">
        <v>0</v>
      </c>
      <c r="R419" t="s">
        <v>33</v>
      </c>
      <c r="S419" t="s">
        <v>2039</v>
      </c>
      <c r="T419" t="s">
        <v>2040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>
        <f t="shared" si="18"/>
        <v>57</v>
      </c>
      <c r="G420" t="s">
        <v>14</v>
      </c>
      <c r="H420">
        <v>1999</v>
      </c>
      <c r="I420" s="4">
        <f t="shared" si="19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9">
        <f>(((L420/60)/60)/24)+DATE(1970,1,1)</f>
        <v>41035.208333333336</v>
      </c>
      <c r="O420" s="9">
        <f t="shared" si="20"/>
        <v>41036.208333333336</v>
      </c>
      <c r="P420" t="b">
        <v>0</v>
      </c>
      <c r="Q420" t="b">
        <v>0</v>
      </c>
      <c r="R420" t="s">
        <v>42</v>
      </c>
      <c r="S420" t="s">
        <v>2041</v>
      </c>
      <c r="T420" t="s">
        <v>2042</v>
      </c>
    </row>
    <row r="421" spans="1:20" ht="17" hidden="1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>
        <f t="shared" si="18"/>
        <v>123</v>
      </c>
      <c r="G421" t="s">
        <v>20</v>
      </c>
      <c r="H421">
        <v>5203</v>
      </c>
      <c r="I421" s="4">
        <f t="shared" si="19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9">
        <f>(((L421/60)/60)/24)+DATE(1970,1,1)</f>
        <v>40899.25</v>
      </c>
      <c r="O421" s="9">
        <f t="shared" si="20"/>
        <v>40905.25</v>
      </c>
      <c r="P421" t="b">
        <v>0</v>
      </c>
      <c r="Q421" t="b">
        <v>0</v>
      </c>
      <c r="R421" t="s">
        <v>28</v>
      </c>
      <c r="S421" t="s">
        <v>2037</v>
      </c>
      <c r="T421" t="s">
        <v>2038</v>
      </c>
    </row>
    <row r="422" spans="1:20" ht="17" hidden="1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>
        <f t="shared" si="18"/>
        <v>128</v>
      </c>
      <c r="G422" t="s">
        <v>20</v>
      </c>
      <c r="H422">
        <v>94</v>
      </c>
      <c r="I422" s="4">
        <f t="shared" si="19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9">
        <f>(((L422/60)/60)/24)+DATE(1970,1,1)</f>
        <v>42911.208333333328</v>
      </c>
      <c r="O422" s="9">
        <f t="shared" si="20"/>
        <v>42925.208333333328</v>
      </c>
      <c r="P422" t="b">
        <v>0</v>
      </c>
      <c r="Q422" t="b">
        <v>0</v>
      </c>
      <c r="R422" t="s">
        <v>33</v>
      </c>
      <c r="S422" t="s">
        <v>2039</v>
      </c>
      <c r="T422" t="s">
        <v>2040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>
        <f t="shared" si="18"/>
        <v>64</v>
      </c>
      <c r="G423" t="s">
        <v>14</v>
      </c>
      <c r="H423">
        <v>118</v>
      </c>
      <c r="I423" s="4">
        <f t="shared" si="19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9">
        <f>(((L423/60)/60)/24)+DATE(1970,1,1)</f>
        <v>42915.208333333328</v>
      </c>
      <c r="O423" s="9">
        <f t="shared" si="20"/>
        <v>42945.208333333328</v>
      </c>
      <c r="P423" t="b">
        <v>0</v>
      </c>
      <c r="Q423" t="b">
        <v>1</v>
      </c>
      <c r="R423" t="s">
        <v>65</v>
      </c>
      <c r="S423" t="s">
        <v>2037</v>
      </c>
      <c r="T423" t="s">
        <v>2046</v>
      </c>
    </row>
    <row r="424" spans="1:20" ht="34" hidden="1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>
        <f t="shared" si="18"/>
        <v>127</v>
      </c>
      <c r="G424" t="s">
        <v>20</v>
      </c>
      <c r="H424">
        <v>205</v>
      </c>
      <c r="I424" s="4">
        <f t="shared" si="19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9">
        <f>(((L424/60)/60)/24)+DATE(1970,1,1)</f>
        <v>40285.208333333336</v>
      </c>
      <c r="O424" s="9">
        <f t="shared" si="20"/>
        <v>40305.208333333336</v>
      </c>
      <c r="P424" t="b">
        <v>0</v>
      </c>
      <c r="Q424" t="b">
        <v>1</v>
      </c>
      <c r="R424" t="s">
        <v>33</v>
      </c>
      <c r="S424" t="s">
        <v>2039</v>
      </c>
      <c r="T424" t="s">
        <v>2040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>
        <f t="shared" si="18"/>
        <v>11</v>
      </c>
      <c r="G425" t="s">
        <v>14</v>
      </c>
      <c r="H425">
        <v>162</v>
      </c>
      <c r="I425" s="4">
        <f t="shared" si="19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9">
        <f>(((L425/60)/60)/24)+DATE(1970,1,1)</f>
        <v>40808.208333333336</v>
      </c>
      <c r="O425" s="9">
        <f t="shared" si="20"/>
        <v>40810.208333333336</v>
      </c>
      <c r="P425" t="b">
        <v>0</v>
      </c>
      <c r="Q425" t="b">
        <v>1</v>
      </c>
      <c r="R425" t="s">
        <v>17</v>
      </c>
      <c r="S425" t="s">
        <v>2033</v>
      </c>
      <c r="T425" t="s">
        <v>2034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>
        <f t="shared" si="18"/>
        <v>40</v>
      </c>
      <c r="G426" t="s">
        <v>14</v>
      </c>
      <c r="H426">
        <v>83</v>
      </c>
      <c r="I426" s="4">
        <f t="shared" si="19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9">
        <f>(((L426/60)/60)/24)+DATE(1970,1,1)</f>
        <v>43208.208333333328</v>
      </c>
      <c r="O426" s="9">
        <f t="shared" si="20"/>
        <v>43214.208333333328</v>
      </c>
      <c r="P426" t="b">
        <v>0</v>
      </c>
      <c r="Q426" t="b">
        <v>0</v>
      </c>
      <c r="R426" t="s">
        <v>60</v>
      </c>
      <c r="S426" t="s">
        <v>2035</v>
      </c>
      <c r="T426" t="s">
        <v>2045</v>
      </c>
    </row>
    <row r="427" spans="1:20" ht="17" hidden="1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>
        <f t="shared" si="18"/>
        <v>288</v>
      </c>
      <c r="G427" t="s">
        <v>20</v>
      </c>
      <c r="H427">
        <v>92</v>
      </c>
      <c r="I427" s="4">
        <f t="shared" si="19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9">
        <f>(((L427/60)/60)/24)+DATE(1970,1,1)</f>
        <v>42213.208333333328</v>
      </c>
      <c r="O427" s="9">
        <f t="shared" si="20"/>
        <v>42219.208333333328</v>
      </c>
      <c r="P427" t="b">
        <v>0</v>
      </c>
      <c r="Q427" t="b">
        <v>0</v>
      </c>
      <c r="R427" t="s">
        <v>122</v>
      </c>
      <c r="S427" t="s">
        <v>2054</v>
      </c>
      <c r="T427" t="s">
        <v>2055</v>
      </c>
    </row>
    <row r="428" spans="1:20" ht="17" hidden="1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>
        <f t="shared" si="18"/>
        <v>573</v>
      </c>
      <c r="G428" t="s">
        <v>20</v>
      </c>
      <c r="H428">
        <v>219</v>
      </c>
      <c r="I428" s="4">
        <f t="shared" si="19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9">
        <f>(((L428/60)/60)/24)+DATE(1970,1,1)</f>
        <v>41332.25</v>
      </c>
      <c r="O428" s="9">
        <f t="shared" si="20"/>
        <v>41339.25</v>
      </c>
      <c r="P428" t="b">
        <v>0</v>
      </c>
      <c r="Q428" t="b">
        <v>0</v>
      </c>
      <c r="R428" t="s">
        <v>33</v>
      </c>
      <c r="S428" t="s">
        <v>2039</v>
      </c>
      <c r="T428" t="s">
        <v>2040</v>
      </c>
    </row>
    <row r="429" spans="1:20" ht="17" hidden="1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>
        <f t="shared" si="18"/>
        <v>113</v>
      </c>
      <c r="G429" t="s">
        <v>20</v>
      </c>
      <c r="H429">
        <v>2526</v>
      </c>
      <c r="I429" s="4">
        <f t="shared" si="19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9">
        <f>(((L429/60)/60)/24)+DATE(1970,1,1)</f>
        <v>41895.208333333336</v>
      </c>
      <c r="O429" s="9">
        <f t="shared" si="20"/>
        <v>41927.208333333336</v>
      </c>
      <c r="P429" t="b">
        <v>0</v>
      </c>
      <c r="Q429" t="b">
        <v>1</v>
      </c>
      <c r="R429" t="s">
        <v>33</v>
      </c>
      <c r="S429" t="s">
        <v>2039</v>
      </c>
      <c r="T429" t="s">
        <v>2040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>
        <f t="shared" si="18"/>
        <v>46</v>
      </c>
      <c r="G430" t="s">
        <v>14</v>
      </c>
      <c r="H430">
        <v>747</v>
      </c>
      <c r="I430" s="4">
        <f t="shared" si="19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9">
        <f>(((L430/60)/60)/24)+DATE(1970,1,1)</f>
        <v>40585.25</v>
      </c>
      <c r="O430" s="9">
        <f t="shared" si="20"/>
        <v>40592.25</v>
      </c>
      <c r="P430" t="b">
        <v>0</v>
      </c>
      <c r="Q430" t="b">
        <v>0</v>
      </c>
      <c r="R430" t="s">
        <v>71</v>
      </c>
      <c r="S430" t="s">
        <v>2041</v>
      </c>
      <c r="T430" t="s">
        <v>2049</v>
      </c>
    </row>
    <row r="431" spans="1:20" ht="17" hidden="1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>
        <f t="shared" si="18"/>
        <v>91</v>
      </c>
      <c r="G431" t="s">
        <v>74</v>
      </c>
      <c r="H431">
        <v>2138</v>
      </c>
      <c r="I431" s="4">
        <f t="shared" si="19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9">
        <f>(((L431/60)/60)/24)+DATE(1970,1,1)</f>
        <v>41680.25</v>
      </c>
      <c r="O431" s="9">
        <f t="shared" si="20"/>
        <v>41708.208333333336</v>
      </c>
      <c r="P431" t="b">
        <v>0</v>
      </c>
      <c r="Q431" t="b">
        <v>1</v>
      </c>
      <c r="R431" t="s">
        <v>122</v>
      </c>
      <c r="S431" t="s">
        <v>2054</v>
      </c>
      <c r="T431" t="s">
        <v>2055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>
        <f t="shared" si="18"/>
        <v>68</v>
      </c>
      <c r="G432" t="s">
        <v>14</v>
      </c>
      <c r="H432">
        <v>84</v>
      </c>
      <c r="I432" s="4">
        <f t="shared" si="19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9">
        <f>(((L432/60)/60)/24)+DATE(1970,1,1)</f>
        <v>43737.208333333328</v>
      </c>
      <c r="O432" s="9">
        <f t="shared" si="20"/>
        <v>43771.208333333328</v>
      </c>
      <c r="P432" t="b">
        <v>0</v>
      </c>
      <c r="Q432" t="b">
        <v>0</v>
      </c>
      <c r="R432" t="s">
        <v>33</v>
      </c>
      <c r="S432" t="s">
        <v>2039</v>
      </c>
      <c r="T432" t="s">
        <v>2040</v>
      </c>
    </row>
    <row r="433" spans="1:20" ht="17" hidden="1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>
        <f t="shared" si="18"/>
        <v>192</v>
      </c>
      <c r="G433" t="s">
        <v>20</v>
      </c>
      <c r="H433">
        <v>94</v>
      </c>
      <c r="I433" s="4">
        <f t="shared" si="19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9">
        <f>(((L433/60)/60)/24)+DATE(1970,1,1)</f>
        <v>43273.208333333328</v>
      </c>
      <c r="O433" s="9">
        <f t="shared" si="20"/>
        <v>43290.208333333328</v>
      </c>
      <c r="P433" t="b">
        <v>1</v>
      </c>
      <c r="Q433" t="b">
        <v>0</v>
      </c>
      <c r="R433" t="s">
        <v>33</v>
      </c>
      <c r="S433" t="s">
        <v>2039</v>
      </c>
      <c r="T433" t="s">
        <v>2040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>
        <f t="shared" si="18"/>
        <v>83</v>
      </c>
      <c r="G434" t="s">
        <v>14</v>
      </c>
      <c r="H434">
        <v>91</v>
      </c>
      <c r="I434" s="4">
        <f t="shared" si="19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9">
        <f>(((L434/60)/60)/24)+DATE(1970,1,1)</f>
        <v>41761.208333333336</v>
      </c>
      <c r="O434" s="9">
        <f t="shared" si="20"/>
        <v>41781.208333333336</v>
      </c>
      <c r="P434" t="b">
        <v>0</v>
      </c>
      <c r="Q434" t="b">
        <v>0</v>
      </c>
      <c r="R434" t="s">
        <v>33</v>
      </c>
      <c r="S434" t="s">
        <v>2039</v>
      </c>
      <c r="T434" t="s">
        <v>2040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>
        <f t="shared" si="18"/>
        <v>54</v>
      </c>
      <c r="G435" t="s">
        <v>14</v>
      </c>
      <c r="H435">
        <v>792</v>
      </c>
      <c r="I435" s="4">
        <f t="shared" si="19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9">
        <f>(((L435/60)/60)/24)+DATE(1970,1,1)</f>
        <v>41603.25</v>
      </c>
      <c r="O435" s="9">
        <f t="shared" si="20"/>
        <v>41619.25</v>
      </c>
      <c r="P435" t="b">
        <v>0</v>
      </c>
      <c r="Q435" t="b">
        <v>1</v>
      </c>
      <c r="R435" t="s">
        <v>42</v>
      </c>
      <c r="S435" t="s">
        <v>2041</v>
      </c>
      <c r="T435" t="s">
        <v>2042</v>
      </c>
    </row>
    <row r="436" spans="1:20" ht="17" hidden="1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>
        <f t="shared" si="18"/>
        <v>17</v>
      </c>
      <c r="G436" t="s">
        <v>74</v>
      </c>
      <c r="H436">
        <v>10</v>
      </c>
      <c r="I436" s="4">
        <f t="shared" si="19"/>
        <v>90.3</v>
      </c>
      <c r="J436" t="s">
        <v>15</v>
      </c>
      <c r="K436" t="s">
        <v>16</v>
      </c>
      <c r="L436">
        <v>1480572000</v>
      </c>
      <c r="M436">
        <v>1481781600</v>
      </c>
      <c r="N436" s="9">
        <f>(((L436/60)/60)/24)+DATE(1970,1,1)</f>
        <v>42705.25</v>
      </c>
      <c r="O436" s="9">
        <f t="shared" si="20"/>
        <v>42719.25</v>
      </c>
      <c r="P436" t="b">
        <v>1</v>
      </c>
      <c r="Q436" t="b">
        <v>0</v>
      </c>
      <c r="R436" t="s">
        <v>33</v>
      </c>
      <c r="S436" t="s">
        <v>2039</v>
      </c>
      <c r="T436" t="s">
        <v>2040</v>
      </c>
    </row>
    <row r="437" spans="1:20" ht="17" hidden="1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>
        <f t="shared" si="18"/>
        <v>117</v>
      </c>
      <c r="G437" t="s">
        <v>20</v>
      </c>
      <c r="H437">
        <v>1713</v>
      </c>
      <c r="I437" s="4">
        <f t="shared" si="19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9">
        <f>(((L437/60)/60)/24)+DATE(1970,1,1)</f>
        <v>41988.25</v>
      </c>
      <c r="O437" s="9">
        <f t="shared" si="20"/>
        <v>42000.25</v>
      </c>
      <c r="P437" t="b">
        <v>0</v>
      </c>
      <c r="Q437" t="b">
        <v>1</v>
      </c>
      <c r="R437" t="s">
        <v>33</v>
      </c>
      <c r="S437" t="s">
        <v>2039</v>
      </c>
      <c r="T437" t="s">
        <v>2040</v>
      </c>
    </row>
    <row r="438" spans="1:20" ht="17" hidden="1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>
        <f t="shared" si="18"/>
        <v>1052</v>
      </c>
      <c r="G438" t="s">
        <v>20</v>
      </c>
      <c r="H438">
        <v>249</v>
      </c>
      <c r="I438" s="4">
        <f t="shared" si="19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9">
        <f>(((L438/60)/60)/24)+DATE(1970,1,1)</f>
        <v>43575.208333333328</v>
      </c>
      <c r="O438" s="9">
        <f t="shared" si="20"/>
        <v>43576.208333333328</v>
      </c>
      <c r="P438" t="b">
        <v>0</v>
      </c>
      <c r="Q438" t="b">
        <v>0</v>
      </c>
      <c r="R438" t="s">
        <v>159</v>
      </c>
      <c r="S438" t="s">
        <v>2035</v>
      </c>
      <c r="T438" t="s">
        <v>2058</v>
      </c>
    </row>
    <row r="439" spans="1:20" ht="17" hidden="1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>
        <f t="shared" si="18"/>
        <v>123</v>
      </c>
      <c r="G439" t="s">
        <v>20</v>
      </c>
      <c r="H439">
        <v>192</v>
      </c>
      <c r="I439" s="4">
        <f t="shared" si="19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9">
        <f>(((L439/60)/60)/24)+DATE(1970,1,1)</f>
        <v>42260.208333333328</v>
      </c>
      <c r="O439" s="9">
        <f t="shared" si="20"/>
        <v>42263.208333333328</v>
      </c>
      <c r="P439" t="b">
        <v>0</v>
      </c>
      <c r="Q439" t="b">
        <v>1</v>
      </c>
      <c r="R439" t="s">
        <v>71</v>
      </c>
      <c r="S439" t="s">
        <v>2041</v>
      </c>
      <c r="T439" t="s">
        <v>2049</v>
      </c>
    </row>
    <row r="440" spans="1:20" ht="34" hidden="1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>
        <f t="shared" si="18"/>
        <v>179</v>
      </c>
      <c r="G440" t="s">
        <v>20</v>
      </c>
      <c r="H440">
        <v>247</v>
      </c>
      <c r="I440" s="4">
        <f t="shared" si="19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9">
        <f>(((L440/60)/60)/24)+DATE(1970,1,1)</f>
        <v>41337.25</v>
      </c>
      <c r="O440" s="9">
        <f t="shared" si="20"/>
        <v>41367.208333333336</v>
      </c>
      <c r="P440" t="b">
        <v>0</v>
      </c>
      <c r="Q440" t="b">
        <v>0</v>
      </c>
      <c r="R440" t="s">
        <v>33</v>
      </c>
      <c r="S440" t="s">
        <v>2039</v>
      </c>
      <c r="T440" t="s">
        <v>2040</v>
      </c>
    </row>
    <row r="441" spans="1:20" ht="17" hidden="1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>
        <f t="shared" si="18"/>
        <v>355</v>
      </c>
      <c r="G441" t="s">
        <v>20</v>
      </c>
      <c r="H441">
        <v>2293</v>
      </c>
      <c r="I441" s="4">
        <f t="shared" si="19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9">
        <f>(((L441/60)/60)/24)+DATE(1970,1,1)</f>
        <v>42680.208333333328</v>
      </c>
      <c r="O441" s="9">
        <f t="shared" si="20"/>
        <v>42687.25</v>
      </c>
      <c r="P441" t="b">
        <v>0</v>
      </c>
      <c r="Q441" t="b">
        <v>0</v>
      </c>
      <c r="R441" t="s">
        <v>474</v>
      </c>
      <c r="S441" t="s">
        <v>2041</v>
      </c>
      <c r="T441" t="s">
        <v>2063</v>
      </c>
    </row>
    <row r="442" spans="1:20" ht="17" hidden="1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>
        <f t="shared" si="18"/>
        <v>162</v>
      </c>
      <c r="G442" t="s">
        <v>20</v>
      </c>
      <c r="H442">
        <v>3131</v>
      </c>
      <c r="I442" s="4">
        <f t="shared" si="19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9">
        <f>(((L442/60)/60)/24)+DATE(1970,1,1)</f>
        <v>42916.208333333328</v>
      </c>
      <c r="O442" s="9">
        <f t="shared" si="20"/>
        <v>42926.208333333328</v>
      </c>
      <c r="P442" t="b">
        <v>0</v>
      </c>
      <c r="Q442" t="b">
        <v>0</v>
      </c>
      <c r="R442" t="s">
        <v>269</v>
      </c>
      <c r="S442" t="s">
        <v>2041</v>
      </c>
      <c r="T442" t="s">
        <v>2060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>
        <f t="shared" si="18"/>
        <v>25</v>
      </c>
      <c r="G443" t="s">
        <v>14</v>
      </c>
      <c r="H443">
        <v>32</v>
      </c>
      <c r="I443" s="4">
        <f t="shared" si="19"/>
        <v>54.5</v>
      </c>
      <c r="J443" t="s">
        <v>21</v>
      </c>
      <c r="K443" t="s">
        <v>22</v>
      </c>
      <c r="L443">
        <v>1335416400</v>
      </c>
      <c r="M443">
        <v>1337835600</v>
      </c>
      <c r="N443" s="9">
        <f>(((L443/60)/60)/24)+DATE(1970,1,1)</f>
        <v>41025.208333333336</v>
      </c>
      <c r="O443" s="9">
        <f t="shared" si="20"/>
        <v>41053.208333333336</v>
      </c>
      <c r="P443" t="b">
        <v>0</v>
      </c>
      <c r="Q443" t="b">
        <v>0</v>
      </c>
      <c r="R443" t="s">
        <v>65</v>
      </c>
      <c r="S443" t="s">
        <v>2037</v>
      </c>
      <c r="T443" t="s">
        <v>2046</v>
      </c>
    </row>
    <row r="444" spans="1:20" ht="17" hidden="1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>
        <f t="shared" si="18"/>
        <v>199</v>
      </c>
      <c r="G444" t="s">
        <v>20</v>
      </c>
      <c r="H444">
        <v>143</v>
      </c>
      <c r="I444" s="4">
        <f t="shared" si="19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9">
        <f>(((L444/60)/60)/24)+DATE(1970,1,1)</f>
        <v>42980.208333333328</v>
      </c>
      <c r="O444" s="9">
        <f t="shared" si="20"/>
        <v>42996.208333333328</v>
      </c>
      <c r="P444" t="b">
        <v>0</v>
      </c>
      <c r="Q444" t="b">
        <v>0</v>
      </c>
      <c r="R444" t="s">
        <v>33</v>
      </c>
      <c r="S444" t="s">
        <v>2039</v>
      </c>
      <c r="T444" t="s">
        <v>2040</v>
      </c>
    </row>
    <row r="445" spans="1:20" ht="17" hidden="1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>
        <f t="shared" si="18"/>
        <v>35</v>
      </c>
      <c r="G445" t="s">
        <v>74</v>
      </c>
      <c r="H445">
        <v>90</v>
      </c>
      <c r="I445" s="4">
        <f t="shared" si="19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9">
        <f>(((L445/60)/60)/24)+DATE(1970,1,1)</f>
        <v>40451.208333333336</v>
      </c>
      <c r="O445" s="9">
        <f t="shared" si="20"/>
        <v>40470.208333333336</v>
      </c>
      <c r="P445" t="b">
        <v>0</v>
      </c>
      <c r="Q445" t="b">
        <v>0</v>
      </c>
      <c r="R445" t="s">
        <v>33</v>
      </c>
      <c r="S445" t="s">
        <v>2039</v>
      </c>
      <c r="T445" t="s">
        <v>2040</v>
      </c>
    </row>
    <row r="446" spans="1:20" ht="17" hidden="1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>
        <f t="shared" si="18"/>
        <v>176</v>
      </c>
      <c r="G446" t="s">
        <v>20</v>
      </c>
      <c r="H446">
        <v>296</v>
      </c>
      <c r="I446" s="4">
        <f t="shared" si="19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9">
        <f>(((L446/60)/60)/24)+DATE(1970,1,1)</f>
        <v>40748.208333333336</v>
      </c>
      <c r="O446" s="9">
        <f t="shared" si="20"/>
        <v>40750.208333333336</v>
      </c>
      <c r="P446" t="b">
        <v>0</v>
      </c>
      <c r="Q446" t="b">
        <v>1</v>
      </c>
      <c r="R446" t="s">
        <v>60</v>
      </c>
      <c r="S446" t="s">
        <v>2035</v>
      </c>
      <c r="T446" t="s">
        <v>2045</v>
      </c>
    </row>
    <row r="447" spans="1:20" ht="34" hidden="1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>
        <f t="shared" si="18"/>
        <v>511</v>
      </c>
      <c r="G447" t="s">
        <v>20</v>
      </c>
      <c r="H447">
        <v>170</v>
      </c>
      <c r="I447" s="4">
        <f t="shared" si="19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9">
        <f>(((L447/60)/60)/24)+DATE(1970,1,1)</f>
        <v>40515.25</v>
      </c>
      <c r="O447" s="9">
        <f t="shared" si="20"/>
        <v>40536.25</v>
      </c>
      <c r="P447" t="b">
        <v>0</v>
      </c>
      <c r="Q447" t="b">
        <v>1</v>
      </c>
      <c r="R447" t="s">
        <v>33</v>
      </c>
      <c r="S447" t="s">
        <v>2039</v>
      </c>
      <c r="T447" t="s">
        <v>2040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>
        <f t="shared" si="18"/>
        <v>82</v>
      </c>
      <c r="G448" t="s">
        <v>14</v>
      </c>
      <c r="H448">
        <v>186</v>
      </c>
      <c r="I448" s="4">
        <f t="shared" si="19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9">
        <f>(((L448/60)/60)/24)+DATE(1970,1,1)</f>
        <v>41261.25</v>
      </c>
      <c r="O448" s="9">
        <f t="shared" si="20"/>
        <v>41263.25</v>
      </c>
      <c r="P448" t="b">
        <v>0</v>
      </c>
      <c r="Q448" t="b">
        <v>0</v>
      </c>
      <c r="R448" t="s">
        <v>65</v>
      </c>
      <c r="S448" t="s">
        <v>2037</v>
      </c>
      <c r="T448" t="s">
        <v>2046</v>
      </c>
    </row>
    <row r="449" spans="1:20" ht="34" hidden="1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>
        <f t="shared" si="18"/>
        <v>24</v>
      </c>
      <c r="G449" t="s">
        <v>74</v>
      </c>
      <c r="H449">
        <v>439</v>
      </c>
      <c r="I449" s="4">
        <f t="shared" si="19"/>
        <v>86</v>
      </c>
      <c r="J449" t="s">
        <v>40</v>
      </c>
      <c r="K449" t="s">
        <v>41</v>
      </c>
      <c r="L449">
        <v>1513663200</v>
      </c>
      <c r="M449">
        <v>1515045600</v>
      </c>
      <c r="N449" s="9">
        <f>(((L449/60)/60)/24)+DATE(1970,1,1)</f>
        <v>43088.25</v>
      </c>
      <c r="O449" s="9">
        <f t="shared" si="20"/>
        <v>43104.25</v>
      </c>
      <c r="P449" t="b">
        <v>0</v>
      </c>
      <c r="Q449" t="b">
        <v>0</v>
      </c>
      <c r="R449" t="s">
        <v>269</v>
      </c>
      <c r="S449" t="s">
        <v>2041</v>
      </c>
      <c r="T449" t="s">
        <v>2060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>
        <f t="shared" si="18"/>
        <v>50</v>
      </c>
      <c r="G450" t="s">
        <v>14</v>
      </c>
      <c r="H450">
        <v>605</v>
      </c>
      <c r="I450" s="4">
        <f t="shared" si="19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9">
        <f>(((L450/60)/60)/24)+DATE(1970,1,1)</f>
        <v>41378.208333333336</v>
      </c>
      <c r="O450" s="9">
        <f t="shared" si="20"/>
        <v>41380.208333333336</v>
      </c>
      <c r="P450" t="b">
        <v>0</v>
      </c>
      <c r="Q450" t="b">
        <v>1</v>
      </c>
      <c r="R450" t="s">
        <v>89</v>
      </c>
      <c r="S450" t="s">
        <v>2050</v>
      </c>
      <c r="T450" t="s">
        <v>2051</v>
      </c>
    </row>
    <row r="451" spans="1:20" ht="17" hidden="1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>
        <f t="shared" ref="F451:F514" si="21">ROUND(E451/D451*100,0)</f>
        <v>967</v>
      </c>
      <c r="G451" t="s">
        <v>20</v>
      </c>
      <c r="H451">
        <v>86</v>
      </c>
      <c r="I451" s="4">
        <f t="shared" ref="I451:I514" si="22">AVERAGE(E451/H451)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9">
        <f>(((L451/60)/60)/24)+DATE(1970,1,1)</f>
        <v>43530.25</v>
      </c>
      <c r="O451" s="9">
        <f t="shared" ref="O451:O514" si="23">(((M451/60)/60)/24)+DATE(1970,1,1)</f>
        <v>43547.208333333328</v>
      </c>
      <c r="P451" t="b">
        <v>0</v>
      </c>
      <c r="Q451" t="b">
        <v>0</v>
      </c>
      <c r="R451" t="s">
        <v>89</v>
      </c>
      <c r="S451" t="s">
        <v>2050</v>
      </c>
      <c r="T451" t="s">
        <v>2051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>
        <f t="shared" si="21"/>
        <v>4</v>
      </c>
      <c r="G452" t="s">
        <v>14</v>
      </c>
      <c r="H452">
        <v>1</v>
      </c>
      <c r="I452" s="4">
        <f t="shared" si="22"/>
        <v>4</v>
      </c>
      <c r="J452" t="s">
        <v>15</v>
      </c>
      <c r="K452" t="s">
        <v>16</v>
      </c>
      <c r="L452">
        <v>1540098000</v>
      </c>
      <c r="M452">
        <v>1542088800</v>
      </c>
      <c r="N452" s="9">
        <f>(((L452/60)/60)/24)+DATE(1970,1,1)</f>
        <v>43394.208333333328</v>
      </c>
      <c r="O452" s="9">
        <f t="shared" si="23"/>
        <v>43417.25</v>
      </c>
      <c r="P452" t="b">
        <v>0</v>
      </c>
      <c r="Q452" t="b">
        <v>0</v>
      </c>
      <c r="R452" t="s">
        <v>71</v>
      </c>
      <c r="S452" t="s">
        <v>2041</v>
      </c>
      <c r="T452" t="s">
        <v>2049</v>
      </c>
    </row>
    <row r="453" spans="1:20" ht="17" hidden="1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>
        <f t="shared" si="21"/>
        <v>123</v>
      </c>
      <c r="G453" t="s">
        <v>20</v>
      </c>
      <c r="H453">
        <v>6286</v>
      </c>
      <c r="I453" s="4">
        <f t="shared" si="22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9">
        <f>(((L453/60)/60)/24)+DATE(1970,1,1)</f>
        <v>42935.208333333328</v>
      </c>
      <c r="O453" s="9">
        <f t="shared" si="23"/>
        <v>42966.208333333328</v>
      </c>
      <c r="P453" t="b">
        <v>0</v>
      </c>
      <c r="Q453" t="b">
        <v>0</v>
      </c>
      <c r="R453" t="s">
        <v>23</v>
      </c>
      <c r="S453" t="s">
        <v>2035</v>
      </c>
      <c r="T453" t="s">
        <v>2036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>
        <f t="shared" si="21"/>
        <v>63</v>
      </c>
      <c r="G454" t="s">
        <v>14</v>
      </c>
      <c r="H454">
        <v>31</v>
      </c>
      <c r="I454" s="4">
        <f t="shared" si="22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9">
        <f>(((L454/60)/60)/24)+DATE(1970,1,1)</f>
        <v>40365.208333333336</v>
      </c>
      <c r="O454" s="9">
        <f t="shared" si="23"/>
        <v>40366.208333333336</v>
      </c>
      <c r="P454" t="b">
        <v>0</v>
      </c>
      <c r="Q454" t="b">
        <v>0</v>
      </c>
      <c r="R454" t="s">
        <v>53</v>
      </c>
      <c r="S454" t="s">
        <v>2041</v>
      </c>
      <c r="T454" t="s">
        <v>2044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>
        <f t="shared" si="21"/>
        <v>56</v>
      </c>
      <c r="G455" t="s">
        <v>14</v>
      </c>
      <c r="H455">
        <v>1181</v>
      </c>
      <c r="I455" s="4">
        <f t="shared" si="22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9">
        <f>(((L455/60)/60)/24)+DATE(1970,1,1)</f>
        <v>42705.25</v>
      </c>
      <c r="O455" s="9">
        <f t="shared" si="23"/>
        <v>42746.25</v>
      </c>
      <c r="P455" t="b">
        <v>0</v>
      </c>
      <c r="Q455" t="b">
        <v>0</v>
      </c>
      <c r="R455" t="s">
        <v>474</v>
      </c>
      <c r="S455" t="s">
        <v>2041</v>
      </c>
      <c r="T455" t="s">
        <v>2063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>
        <f t="shared" si="21"/>
        <v>44</v>
      </c>
      <c r="G456" t="s">
        <v>14</v>
      </c>
      <c r="H456">
        <v>39</v>
      </c>
      <c r="I456" s="4">
        <f t="shared" si="22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9">
        <f>(((L456/60)/60)/24)+DATE(1970,1,1)</f>
        <v>41568.208333333336</v>
      </c>
      <c r="O456" s="9">
        <f t="shared" si="23"/>
        <v>41604.25</v>
      </c>
      <c r="P456" t="b">
        <v>0</v>
      </c>
      <c r="Q456" t="b">
        <v>1</v>
      </c>
      <c r="R456" t="s">
        <v>53</v>
      </c>
      <c r="S456" t="s">
        <v>2041</v>
      </c>
      <c r="T456" t="s">
        <v>2044</v>
      </c>
    </row>
    <row r="457" spans="1:20" ht="17" hidden="1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>
        <f t="shared" si="21"/>
        <v>118</v>
      </c>
      <c r="G457" t="s">
        <v>20</v>
      </c>
      <c r="H457">
        <v>3727</v>
      </c>
      <c r="I457" s="4">
        <f t="shared" si="22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9">
        <f>(((L457/60)/60)/24)+DATE(1970,1,1)</f>
        <v>40809.208333333336</v>
      </c>
      <c r="O457" s="9">
        <f t="shared" si="23"/>
        <v>40832.208333333336</v>
      </c>
      <c r="P457" t="b">
        <v>0</v>
      </c>
      <c r="Q457" t="b">
        <v>0</v>
      </c>
      <c r="R457" t="s">
        <v>33</v>
      </c>
      <c r="S457" t="s">
        <v>2039</v>
      </c>
      <c r="T457" t="s">
        <v>2040</v>
      </c>
    </row>
    <row r="458" spans="1:20" ht="34" hidden="1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>
        <f t="shared" si="21"/>
        <v>104</v>
      </c>
      <c r="G458" t="s">
        <v>20</v>
      </c>
      <c r="H458">
        <v>1605</v>
      </c>
      <c r="I458" s="4">
        <f t="shared" si="22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9">
        <f>(((L458/60)/60)/24)+DATE(1970,1,1)</f>
        <v>43141.25</v>
      </c>
      <c r="O458" s="9">
        <f t="shared" si="23"/>
        <v>43141.25</v>
      </c>
      <c r="P458" t="b">
        <v>0</v>
      </c>
      <c r="Q458" t="b">
        <v>1</v>
      </c>
      <c r="R458" t="s">
        <v>60</v>
      </c>
      <c r="S458" t="s">
        <v>2035</v>
      </c>
      <c r="T458" t="s">
        <v>2045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>
        <f t="shared" si="21"/>
        <v>27</v>
      </c>
      <c r="G459" t="s">
        <v>14</v>
      </c>
      <c r="H459">
        <v>46</v>
      </c>
      <c r="I459" s="4">
        <f t="shared" si="22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9">
        <f>(((L459/60)/60)/24)+DATE(1970,1,1)</f>
        <v>42657.208333333328</v>
      </c>
      <c r="O459" s="9">
        <f t="shared" si="23"/>
        <v>42659.208333333328</v>
      </c>
      <c r="P459" t="b">
        <v>0</v>
      </c>
      <c r="Q459" t="b">
        <v>0</v>
      </c>
      <c r="R459" t="s">
        <v>33</v>
      </c>
      <c r="S459" t="s">
        <v>2039</v>
      </c>
      <c r="T459" t="s">
        <v>2040</v>
      </c>
    </row>
    <row r="460" spans="1:20" ht="17" hidden="1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>
        <f t="shared" si="21"/>
        <v>351</v>
      </c>
      <c r="G460" t="s">
        <v>20</v>
      </c>
      <c r="H460">
        <v>2120</v>
      </c>
      <c r="I460" s="4">
        <f t="shared" si="22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9">
        <f>(((L460/60)/60)/24)+DATE(1970,1,1)</f>
        <v>40265.208333333336</v>
      </c>
      <c r="O460" s="9">
        <f t="shared" si="23"/>
        <v>40309.208333333336</v>
      </c>
      <c r="P460" t="b">
        <v>0</v>
      </c>
      <c r="Q460" t="b">
        <v>0</v>
      </c>
      <c r="R460" t="s">
        <v>33</v>
      </c>
      <c r="S460" t="s">
        <v>2039</v>
      </c>
      <c r="T460" t="s">
        <v>2040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>
        <f t="shared" si="21"/>
        <v>90</v>
      </c>
      <c r="G461" t="s">
        <v>14</v>
      </c>
      <c r="H461">
        <v>105</v>
      </c>
      <c r="I461" s="4">
        <f t="shared" si="22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9">
        <f>(((L461/60)/60)/24)+DATE(1970,1,1)</f>
        <v>42001.25</v>
      </c>
      <c r="O461" s="9">
        <f t="shared" si="23"/>
        <v>42026.25</v>
      </c>
      <c r="P461" t="b">
        <v>0</v>
      </c>
      <c r="Q461" t="b">
        <v>0</v>
      </c>
      <c r="R461" t="s">
        <v>42</v>
      </c>
      <c r="S461" t="s">
        <v>2041</v>
      </c>
      <c r="T461" t="s">
        <v>2042</v>
      </c>
    </row>
    <row r="462" spans="1:20" ht="17" hidden="1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>
        <f t="shared" si="21"/>
        <v>172</v>
      </c>
      <c r="G462" t="s">
        <v>20</v>
      </c>
      <c r="H462">
        <v>50</v>
      </c>
      <c r="I462" s="4">
        <f t="shared" si="22"/>
        <v>82.38</v>
      </c>
      <c r="J462" t="s">
        <v>21</v>
      </c>
      <c r="K462" t="s">
        <v>22</v>
      </c>
      <c r="L462">
        <v>1281330000</v>
      </c>
      <c r="M462">
        <v>1281589200</v>
      </c>
      <c r="N462" s="9">
        <f>(((L462/60)/60)/24)+DATE(1970,1,1)</f>
        <v>40399.208333333336</v>
      </c>
      <c r="O462" s="9">
        <f t="shared" si="23"/>
        <v>40402.208333333336</v>
      </c>
      <c r="P462" t="b">
        <v>0</v>
      </c>
      <c r="Q462" t="b">
        <v>0</v>
      </c>
      <c r="R462" t="s">
        <v>33</v>
      </c>
      <c r="S462" t="s">
        <v>2039</v>
      </c>
      <c r="T462" t="s">
        <v>2040</v>
      </c>
    </row>
    <row r="463" spans="1:20" ht="17" hidden="1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>
        <f t="shared" si="21"/>
        <v>141</v>
      </c>
      <c r="G463" t="s">
        <v>20</v>
      </c>
      <c r="H463">
        <v>2080</v>
      </c>
      <c r="I463" s="4">
        <f t="shared" si="22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9">
        <f>(((L463/60)/60)/24)+DATE(1970,1,1)</f>
        <v>41757.208333333336</v>
      </c>
      <c r="O463" s="9">
        <f t="shared" si="23"/>
        <v>41777.208333333336</v>
      </c>
      <c r="P463" t="b">
        <v>0</v>
      </c>
      <c r="Q463" t="b">
        <v>0</v>
      </c>
      <c r="R463" t="s">
        <v>53</v>
      </c>
      <c r="S463" t="s">
        <v>2041</v>
      </c>
      <c r="T463" t="s">
        <v>2044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>
        <f t="shared" si="21"/>
        <v>31</v>
      </c>
      <c r="G464" t="s">
        <v>14</v>
      </c>
      <c r="H464">
        <v>535</v>
      </c>
      <c r="I464" s="4">
        <f t="shared" si="22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9">
        <f>(((L464/60)/60)/24)+DATE(1970,1,1)</f>
        <v>41304.25</v>
      </c>
      <c r="O464" s="9">
        <f t="shared" si="23"/>
        <v>41342.25</v>
      </c>
      <c r="P464" t="b">
        <v>0</v>
      </c>
      <c r="Q464" t="b">
        <v>0</v>
      </c>
      <c r="R464" t="s">
        <v>292</v>
      </c>
      <c r="S464" t="s">
        <v>2050</v>
      </c>
      <c r="T464" t="s">
        <v>2061</v>
      </c>
    </row>
    <row r="465" spans="1:20" ht="34" hidden="1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>
        <f t="shared" si="21"/>
        <v>108</v>
      </c>
      <c r="G465" t="s">
        <v>20</v>
      </c>
      <c r="H465">
        <v>2105</v>
      </c>
      <c r="I465" s="4">
        <f t="shared" si="22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9">
        <f>(((L465/60)/60)/24)+DATE(1970,1,1)</f>
        <v>41639.25</v>
      </c>
      <c r="O465" s="9">
        <f t="shared" si="23"/>
        <v>41643.25</v>
      </c>
      <c r="P465" t="b">
        <v>0</v>
      </c>
      <c r="Q465" t="b">
        <v>0</v>
      </c>
      <c r="R465" t="s">
        <v>71</v>
      </c>
      <c r="S465" t="s">
        <v>2041</v>
      </c>
      <c r="T465" t="s">
        <v>2049</v>
      </c>
    </row>
    <row r="466" spans="1:20" ht="17" hidden="1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>
        <f t="shared" si="21"/>
        <v>133</v>
      </c>
      <c r="G466" t="s">
        <v>20</v>
      </c>
      <c r="H466">
        <v>2436</v>
      </c>
      <c r="I466" s="4">
        <f t="shared" si="22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9">
        <f>(((L466/60)/60)/24)+DATE(1970,1,1)</f>
        <v>43142.25</v>
      </c>
      <c r="O466" s="9">
        <f t="shared" si="23"/>
        <v>43156.25</v>
      </c>
      <c r="P466" t="b">
        <v>0</v>
      </c>
      <c r="Q466" t="b">
        <v>0</v>
      </c>
      <c r="R466" t="s">
        <v>33</v>
      </c>
      <c r="S466" t="s">
        <v>2039</v>
      </c>
      <c r="T466" t="s">
        <v>2040</v>
      </c>
    </row>
    <row r="467" spans="1:20" ht="17" hidden="1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>
        <f t="shared" si="21"/>
        <v>188</v>
      </c>
      <c r="G467" t="s">
        <v>20</v>
      </c>
      <c r="H467">
        <v>80</v>
      </c>
      <c r="I467" s="4">
        <f t="shared" si="22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9">
        <f>(((L467/60)/60)/24)+DATE(1970,1,1)</f>
        <v>43127.25</v>
      </c>
      <c r="O467" s="9">
        <f t="shared" si="23"/>
        <v>43136.25</v>
      </c>
      <c r="P467" t="b">
        <v>0</v>
      </c>
      <c r="Q467" t="b">
        <v>0</v>
      </c>
      <c r="R467" t="s">
        <v>206</v>
      </c>
      <c r="S467" t="s">
        <v>2047</v>
      </c>
      <c r="T467" t="s">
        <v>2059</v>
      </c>
    </row>
    <row r="468" spans="1:20" ht="17" hidden="1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>
        <f t="shared" si="21"/>
        <v>332</v>
      </c>
      <c r="G468" t="s">
        <v>20</v>
      </c>
      <c r="H468">
        <v>42</v>
      </c>
      <c r="I468" s="4">
        <f t="shared" si="22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9">
        <f>(((L468/60)/60)/24)+DATE(1970,1,1)</f>
        <v>41409.208333333336</v>
      </c>
      <c r="O468" s="9">
        <f t="shared" si="23"/>
        <v>41432.208333333336</v>
      </c>
      <c r="P468" t="b">
        <v>0</v>
      </c>
      <c r="Q468" t="b">
        <v>1</v>
      </c>
      <c r="R468" t="s">
        <v>65</v>
      </c>
      <c r="S468" t="s">
        <v>2037</v>
      </c>
      <c r="T468" t="s">
        <v>2046</v>
      </c>
    </row>
    <row r="469" spans="1:20" ht="34" hidden="1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>
        <f t="shared" si="21"/>
        <v>575</v>
      </c>
      <c r="G469" t="s">
        <v>20</v>
      </c>
      <c r="H469">
        <v>139</v>
      </c>
      <c r="I469" s="4">
        <f t="shared" si="22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9">
        <f>(((L469/60)/60)/24)+DATE(1970,1,1)</f>
        <v>42331.25</v>
      </c>
      <c r="O469" s="9">
        <f t="shared" si="23"/>
        <v>42338.25</v>
      </c>
      <c r="P469" t="b">
        <v>0</v>
      </c>
      <c r="Q469" t="b">
        <v>1</v>
      </c>
      <c r="R469" t="s">
        <v>28</v>
      </c>
      <c r="S469" t="s">
        <v>2037</v>
      </c>
      <c r="T469" t="s">
        <v>2038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>
        <f t="shared" si="21"/>
        <v>41</v>
      </c>
      <c r="G470" t="s">
        <v>14</v>
      </c>
      <c r="H470">
        <v>16</v>
      </c>
      <c r="I470" s="4">
        <f t="shared" si="22"/>
        <v>101.25</v>
      </c>
      <c r="J470" t="s">
        <v>21</v>
      </c>
      <c r="K470" t="s">
        <v>22</v>
      </c>
      <c r="L470">
        <v>1555218000</v>
      </c>
      <c r="M470">
        <v>1556600400</v>
      </c>
      <c r="N470" s="9">
        <f>(((L470/60)/60)/24)+DATE(1970,1,1)</f>
        <v>43569.208333333328</v>
      </c>
      <c r="O470" s="9">
        <f t="shared" si="23"/>
        <v>43585.208333333328</v>
      </c>
      <c r="P470" t="b">
        <v>0</v>
      </c>
      <c r="Q470" t="b">
        <v>0</v>
      </c>
      <c r="R470" t="s">
        <v>33</v>
      </c>
      <c r="S470" t="s">
        <v>2039</v>
      </c>
      <c r="T470" t="s">
        <v>2040</v>
      </c>
    </row>
    <row r="471" spans="1:20" ht="17" hidden="1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>
        <f t="shared" si="21"/>
        <v>184</v>
      </c>
      <c r="G471" t="s">
        <v>20</v>
      </c>
      <c r="H471">
        <v>159</v>
      </c>
      <c r="I471" s="4">
        <f t="shared" si="22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9">
        <f>(((L471/60)/60)/24)+DATE(1970,1,1)</f>
        <v>42142.208333333328</v>
      </c>
      <c r="O471" s="9">
        <f t="shared" si="23"/>
        <v>42144.208333333328</v>
      </c>
      <c r="P471" t="b">
        <v>0</v>
      </c>
      <c r="Q471" t="b">
        <v>0</v>
      </c>
      <c r="R471" t="s">
        <v>53</v>
      </c>
      <c r="S471" t="s">
        <v>2041</v>
      </c>
      <c r="T471" t="s">
        <v>2044</v>
      </c>
    </row>
    <row r="472" spans="1:20" ht="17" hidden="1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>
        <f t="shared" si="21"/>
        <v>286</v>
      </c>
      <c r="G472" t="s">
        <v>20</v>
      </c>
      <c r="H472">
        <v>381</v>
      </c>
      <c r="I472" s="4">
        <f t="shared" si="22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9">
        <f>(((L472/60)/60)/24)+DATE(1970,1,1)</f>
        <v>42716.25</v>
      </c>
      <c r="O472" s="9">
        <f t="shared" si="23"/>
        <v>42723.25</v>
      </c>
      <c r="P472" t="b">
        <v>0</v>
      </c>
      <c r="Q472" t="b">
        <v>0</v>
      </c>
      <c r="R472" t="s">
        <v>65</v>
      </c>
      <c r="S472" t="s">
        <v>2037</v>
      </c>
      <c r="T472" t="s">
        <v>2046</v>
      </c>
    </row>
    <row r="473" spans="1:20" ht="17" hidden="1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>
        <f t="shared" si="21"/>
        <v>319</v>
      </c>
      <c r="G473" t="s">
        <v>20</v>
      </c>
      <c r="H473">
        <v>194</v>
      </c>
      <c r="I473" s="4">
        <f t="shared" si="22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9">
        <f>(((L473/60)/60)/24)+DATE(1970,1,1)</f>
        <v>41031.208333333336</v>
      </c>
      <c r="O473" s="9">
        <f t="shared" si="23"/>
        <v>41031.208333333336</v>
      </c>
      <c r="P473" t="b">
        <v>0</v>
      </c>
      <c r="Q473" t="b">
        <v>1</v>
      </c>
      <c r="R473" t="s">
        <v>17</v>
      </c>
      <c r="S473" t="s">
        <v>2033</v>
      </c>
      <c r="T473" t="s">
        <v>2034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>
        <f t="shared" si="21"/>
        <v>39</v>
      </c>
      <c r="G474" t="s">
        <v>14</v>
      </c>
      <c r="H474">
        <v>575</v>
      </c>
      <c r="I474" s="4">
        <f t="shared" si="22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9">
        <f>(((L474/60)/60)/24)+DATE(1970,1,1)</f>
        <v>43535.208333333328</v>
      </c>
      <c r="O474" s="9">
        <f t="shared" si="23"/>
        <v>43589.208333333328</v>
      </c>
      <c r="P474" t="b">
        <v>0</v>
      </c>
      <c r="Q474" t="b">
        <v>0</v>
      </c>
      <c r="R474" t="s">
        <v>23</v>
      </c>
      <c r="S474" t="s">
        <v>2035</v>
      </c>
      <c r="T474" t="s">
        <v>2036</v>
      </c>
    </row>
    <row r="475" spans="1:20" ht="17" hidden="1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>
        <f t="shared" si="21"/>
        <v>178</v>
      </c>
      <c r="G475" t="s">
        <v>20</v>
      </c>
      <c r="H475">
        <v>106</v>
      </c>
      <c r="I475" s="4">
        <f t="shared" si="22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9">
        <f>(((L475/60)/60)/24)+DATE(1970,1,1)</f>
        <v>43277.208333333328</v>
      </c>
      <c r="O475" s="9">
        <f t="shared" si="23"/>
        <v>43278.208333333328</v>
      </c>
      <c r="P475" t="b">
        <v>0</v>
      </c>
      <c r="Q475" t="b">
        <v>0</v>
      </c>
      <c r="R475" t="s">
        <v>50</v>
      </c>
      <c r="S475" t="s">
        <v>2035</v>
      </c>
      <c r="T475" t="s">
        <v>2043</v>
      </c>
    </row>
    <row r="476" spans="1:20" ht="17" hidden="1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>
        <f t="shared" si="21"/>
        <v>365</v>
      </c>
      <c r="G476" t="s">
        <v>20</v>
      </c>
      <c r="H476">
        <v>142</v>
      </c>
      <c r="I476" s="4">
        <f t="shared" si="22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9">
        <f>(((L476/60)/60)/24)+DATE(1970,1,1)</f>
        <v>41989.25</v>
      </c>
      <c r="O476" s="9">
        <f t="shared" si="23"/>
        <v>41990.25</v>
      </c>
      <c r="P476" t="b">
        <v>0</v>
      </c>
      <c r="Q476" t="b">
        <v>0</v>
      </c>
      <c r="R476" t="s">
        <v>269</v>
      </c>
      <c r="S476" t="s">
        <v>2041</v>
      </c>
      <c r="T476" t="s">
        <v>2060</v>
      </c>
    </row>
    <row r="477" spans="1:20" ht="34" hidden="1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>
        <f t="shared" si="21"/>
        <v>114</v>
      </c>
      <c r="G477" t="s">
        <v>20</v>
      </c>
      <c r="H477">
        <v>211</v>
      </c>
      <c r="I477" s="4">
        <f t="shared" si="22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9">
        <f>(((L477/60)/60)/24)+DATE(1970,1,1)</f>
        <v>41450.208333333336</v>
      </c>
      <c r="O477" s="9">
        <f t="shared" si="23"/>
        <v>41454.208333333336</v>
      </c>
      <c r="P477" t="b">
        <v>0</v>
      </c>
      <c r="Q477" t="b">
        <v>1</v>
      </c>
      <c r="R477" t="s">
        <v>206</v>
      </c>
      <c r="S477" t="s">
        <v>2047</v>
      </c>
      <c r="T477" t="s">
        <v>2059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>
        <f t="shared" si="21"/>
        <v>30</v>
      </c>
      <c r="G478" t="s">
        <v>14</v>
      </c>
      <c r="H478">
        <v>1120</v>
      </c>
      <c r="I478" s="4">
        <f t="shared" si="22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9">
        <f>(((L478/60)/60)/24)+DATE(1970,1,1)</f>
        <v>43322.208333333328</v>
      </c>
      <c r="O478" s="9">
        <f t="shared" si="23"/>
        <v>43328.208333333328</v>
      </c>
      <c r="P478" t="b">
        <v>0</v>
      </c>
      <c r="Q478" t="b">
        <v>0</v>
      </c>
      <c r="R478" t="s">
        <v>119</v>
      </c>
      <c r="S478" t="s">
        <v>2047</v>
      </c>
      <c r="T478" t="s">
        <v>2053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>
        <f t="shared" si="21"/>
        <v>54</v>
      </c>
      <c r="G479" t="s">
        <v>14</v>
      </c>
      <c r="H479">
        <v>113</v>
      </c>
      <c r="I479" s="4">
        <f t="shared" si="22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9">
        <f>(((L479/60)/60)/24)+DATE(1970,1,1)</f>
        <v>40720.208333333336</v>
      </c>
      <c r="O479" s="9">
        <f t="shared" si="23"/>
        <v>40747.208333333336</v>
      </c>
      <c r="P479" t="b">
        <v>0</v>
      </c>
      <c r="Q479" t="b">
        <v>0</v>
      </c>
      <c r="R479" t="s">
        <v>474</v>
      </c>
      <c r="S479" t="s">
        <v>2041</v>
      </c>
      <c r="T479" t="s">
        <v>2063</v>
      </c>
    </row>
    <row r="480" spans="1:20" ht="17" hidden="1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>
        <f t="shared" si="21"/>
        <v>236</v>
      </c>
      <c r="G480" t="s">
        <v>20</v>
      </c>
      <c r="H480">
        <v>2756</v>
      </c>
      <c r="I480" s="4">
        <f t="shared" si="22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9">
        <f>(((L480/60)/60)/24)+DATE(1970,1,1)</f>
        <v>42072.208333333328</v>
      </c>
      <c r="O480" s="9">
        <f t="shared" si="23"/>
        <v>42084.208333333328</v>
      </c>
      <c r="P480" t="b">
        <v>0</v>
      </c>
      <c r="Q480" t="b">
        <v>0</v>
      </c>
      <c r="R480" t="s">
        <v>65</v>
      </c>
      <c r="S480" t="s">
        <v>2037</v>
      </c>
      <c r="T480" t="s">
        <v>2046</v>
      </c>
    </row>
    <row r="481" spans="1:20" ht="17" hidden="1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>
        <f t="shared" si="21"/>
        <v>513</v>
      </c>
      <c r="G481" t="s">
        <v>20</v>
      </c>
      <c r="H481">
        <v>173</v>
      </c>
      <c r="I481" s="4">
        <f t="shared" si="22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9">
        <f>(((L481/60)/60)/24)+DATE(1970,1,1)</f>
        <v>42945.208333333328</v>
      </c>
      <c r="O481" s="9">
        <f t="shared" si="23"/>
        <v>42947.208333333328</v>
      </c>
      <c r="P481" t="b">
        <v>0</v>
      </c>
      <c r="Q481" t="b">
        <v>0</v>
      </c>
      <c r="R481" t="s">
        <v>17</v>
      </c>
      <c r="S481" t="s">
        <v>2033</v>
      </c>
      <c r="T481" t="s">
        <v>2034</v>
      </c>
    </row>
    <row r="482" spans="1:20" ht="17" hidden="1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>
        <f t="shared" si="21"/>
        <v>101</v>
      </c>
      <c r="G482" t="s">
        <v>20</v>
      </c>
      <c r="H482">
        <v>87</v>
      </c>
      <c r="I482" s="4">
        <f t="shared" si="22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9">
        <f>(((L482/60)/60)/24)+DATE(1970,1,1)</f>
        <v>40248.25</v>
      </c>
      <c r="O482" s="9">
        <f t="shared" si="23"/>
        <v>40257.208333333336</v>
      </c>
      <c r="P482" t="b">
        <v>0</v>
      </c>
      <c r="Q482" t="b">
        <v>1</v>
      </c>
      <c r="R482" t="s">
        <v>122</v>
      </c>
      <c r="S482" t="s">
        <v>2054</v>
      </c>
      <c r="T482" t="s">
        <v>2055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>
        <f t="shared" si="21"/>
        <v>81</v>
      </c>
      <c r="G483" t="s">
        <v>14</v>
      </c>
      <c r="H483">
        <v>1538</v>
      </c>
      <c r="I483" s="4">
        <f t="shared" si="22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9">
        <f>(((L483/60)/60)/24)+DATE(1970,1,1)</f>
        <v>41913.208333333336</v>
      </c>
      <c r="O483" s="9">
        <f t="shared" si="23"/>
        <v>41955.25</v>
      </c>
      <c r="P483" t="b">
        <v>0</v>
      </c>
      <c r="Q483" t="b">
        <v>1</v>
      </c>
      <c r="R483" t="s">
        <v>33</v>
      </c>
      <c r="S483" t="s">
        <v>2039</v>
      </c>
      <c r="T483" t="s">
        <v>2040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>
        <f t="shared" si="21"/>
        <v>16</v>
      </c>
      <c r="G484" t="s">
        <v>14</v>
      </c>
      <c r="H484">
        <v>9</v>
      </c>
      <c r="I484" s="4">
        <f t="shared" si="22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9">
        <f>(((L484/60)/60)/24)+DATE(1970,1,1)</f>
        <v>40963.25</v>
      </c>
      <c r="O484" s="9">
        <f t="shared" si="23"/>
        <v>40974.25</v>
      </c>
      <c r="P484" t="b">
        <v>0</v>
      </c>
      <c r="Q484" t="b">
        <v>1</v>
      </c>
      <c r="R484" t="s">
        <v>119</v>
      </c>
      <c r="S484" t="s">
        <v>2047</v>
      </c>
      <c r="T484" t="s">
        <v>2053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>
        <f t="shared" si="21"/>
        <v>53</v>
      </c>
      <c r="G485" t="s">
        <v>14</v>
      </c>
      <c r="H485">
        <v>554</v>
      </c>
      <c r="I485" s="4">
        <f t="shared" si="22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9">
        <f>(((L485/60)/60)/24)+DATE(1970,1,1)</f>
        <v>43811.25</v>
      </c>
      <c r="O485" s="9">
        <f t="shared" si="23"/>
        <v>43818.25</v>
      </c>
      <c r="P485" t="b">
        <v>0</v>
      </c>
      <c r="Q485" t="b">
        <v>0</v>
      </c>
      <c r="R485" t="s">
        <v>33</v>
      </c>
      <c r="S485" t="s">
        <v>2039</v>
      </c>
      <c r="T485" t="s">
        <v>2040</v>
      </c>
    </row>
    <row r="486" spans="1:20" ht="17" hidden="1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>
        <f t="shared" si="21"/>
        <v>260</v>
      </c>
      <c r="G486" t="s">
        <v>20</v>
      </c>
      <c r="H486">
        <v>1572</v>
      </c>
      <c r="I486" s="4">
        <f t="shared" si="22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9">
        <f>(((L486/60)/60)/24)+DATE(1970,1,1)</f>
        <v>41855.208333333336</v>
      </c>
      <c r="O486" s="9">
        <f t="shared" si="23"/>
        <v>41904.208333333336</v>
      </c>
      <c r="P486" t="b">
        <v>0</v>
      </c>
      <c r="Q486" t="b">
        <v>1</v>
      </c>
      <c r="R486" t="s">
        <v>17</v>
      </c>
      <c r="S486" t="s">
        <v>2033</v>
      </c>
      <c r="T486" t="s">
        <v>2034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>
        <f t="shared" si="21"/>
        <v>31</v>
      </c>
      <c r="G487" t="s">
        <v>14</v>
      </c>
      <c r="H487">
        <v>648</v>
      </c>
      <c r="I487" s="4">
        <f t="shared" si="22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9">
        <f>(((L487/60)/60)/24)+DATE(1970,1,1)</f>
        <v>43626.208333333328</v>
      </c>
      <c r="O487" s="9">
        <f t="shared" si="23"/>
        <v>43667.208333333328</v>
      </c>
      <c r="P487" t="b">
        <v>0</v>
      </c>
      <c r="Q487" t="b">
        <v>0</v>
      </c>
      <c r="R487" t="s">
        <v>33</v>
      </c>
      <c r="S487" t="s">
        <v>2039</v>
      </c>
      <c r="T487" t="s">
        <v>2040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>
        <f t="shared" si="21"/>
        <v>14</v>
      </c>
      <c r="G488" t="s">
        <v>14</v>
      </c>
      <c r="H488">
        <v>21</v>
      </c>
      <c r="I488" s="4">
        <f t="shared" si="22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9">
        <f>(((L488/60)/60)/24)+DATE(1970,1,1)</f>
        <v>43168.25</v>
      </c>
      <c r="O488" s="9">
        <f t="shared" si="23"/>
        <v>43183.208333333328</v>
      </c>
      <c r="P488" t="b">
        <v>0</v>
      </c>
      <c r="Q488" t="b">
        <v>1</v>
      </c>
      <c r="R488" t="s">
        <v>206</v>
      </c>
      <c r="S488" t="s">
        <v>2047</v>
      </c>
      <c r="T488" t="s">
        <v>2059</v>
      </c>
    </row>
    <row r="489" spans="1:20" ht="17" hidden="1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>
        <f t="shared" si="21"/>
        <v>179</v>
      </c>
      <c r="G489" t="s">
        <v>20</v>
      </c>
      <c r="H489">
        <v>2346</v>
      </c>
      <c r="I489" s="4">
        <f t="shared" si="22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9">
        <f>(((L489/60)/60)/24)+DATE(1970,1,1)</f>
        <v>42845.208333333328</v>
      </c>
      <c r="O489" s="9">
        <f t="shared" si="23"/>
        <v>42878.208333333328</v>
      </c>
      <c r="P489" t="b">
        <v>0</v>
      </c>
      <c r="Q489" t="b">
        <v>0</v>
      </c>
      <c r="R489" t="s">
        <v>33</v>
      </c>
      <c r="S489" t="s">
        <v>2039</v>
      </c>
      <c r="T489" t="s">
        <v>2040</v>
      </c>
    </row>
    <row r="490" spans="1:20" ht="17" hidden="1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>
        <f t="shared" si="21"/>
        <v>220</v>
      </c>
      <c r="G490" t="s">
        <v>20</v>
      </c>
      <c r="H490">
        <v>115</v>
      </c>
      <c r="I490" s="4">
        <f t="shared" si="22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9">
        <f>(((L490/60)/60)/24)+DATE(1970,1,1)</f>
        <v>42403.25</v>
      </c>
      <c r="O490" s="9">
        <f t="shared" si="23"/>
        <v>42420.25</v>
      </c>
      <c r="P490" t="b">
        <v>0</v>
      </c>
      <c r="Q490" t="b">
        <v>0</v>
      </c>
      <c r="R490" t="s">
        <v>33</v>
      </c>
      <c r="S490" t="s">
        <v>2039</v>
      </c>
      <c r="T490" t="s">
        <v>2040</v>
      </c>
    </row>
    <row r="491" spans="1:20" ht="17" hidden="1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>
        <f t="shared" si="21"/>
        <v>102</v>
      </c>
      <c r="G491" t="s">
        <v>20</v>
      </c>
      <c r="H491">
        <v>85</v>
      </c>
      <c r="I491" s="4">
        <f t="shared" si="22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9">
        <f>(((L491/60)/60)/24)+DATE(1970,1,1)</f>
        <v>40406.208333333336</v>
      </c>
      <c r="O491" s="9">
        <f t="shared" si="23"/>
        <v>40411.208333333336</v>
      </c>
      <c r="P491" t="b">
        <v>0</v>
      </c>
      <c r="Q491" t="b">
        <v>0</v>
      </c>
      <c r="R491" t="s">
        <v>65</v>
      </c>
      <c r="S491" t="s">
        <v>2037</v>
      </c>
      <c r="T491" t="s">
        <v>2046</v>
      </c>
    </row>
    <row r="492" spans="1:20" ht="17" hidden="1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>
        <f t="shared" si="21"/>
        <v>192</v>
      </c>
      <c r="G492" t="s">
        <v>20</v>
      </c>
      <c r="H492">
        <v>144</v>
      </c>
      <c r="I492" s="4">
        <f t="shared" si="22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9">
        <f>(((L492/60)/60)/24)+DATE(1970,1,1)</f>
        <v>43786.25</v>
      </c>
      <c r="O492" s="9">
        <f t="shared" si="23"/>
        <v>43793.25</v>
      </c>
      <c r="P492" t="b">
        <v>0</v>
      </c>
      <c r="Q492" t="b">
        <v>0</v>
      </c>
      <c r="R492" t="s">
        <v>1029</v>
      </c>
      <c r="S492" t="s">
        <v>2064</v>
      </c>
      <c r="T492" t="s">
        <v>2065</v>
      </c>
    </row>
    <row r="493" spans="1:20" ht="34" hidden="1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>
        <f t="shared" si="21"/>
        <v>305</v>
      </c>
      <c r="G493" t="s">
        <v>20</v>
      </c>
      <c r="H493">
        <v>2443</v>
      </c>
      <c r="I493" s="4">
        <f t="shared" si="22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9">
        <f>(((L493/60)/60)/24)+DATE(1970,1,1)</f>
        <v>41456.208333333336</v>
      </c>
      <c r="O493" s="9">
        <f t="shared" si="23"/>
        <v>41482.208333333336</v>
      </c>
      <c r="P493" t="b">
        <v>0</v>
      </c>
      <c r="Q493" t="b">
        <v>1</v>
      </c>
      <c r="R493" t="s">
        <v>17</v>
      </c>
      <c r="S493" t="s">
        <v>2033</v>
      </c>
      <c r="T493" t="s">
        <v>2034</v>
      </c>
    </row>
    <row r="494" spans="1:20" ht="17" hidden="1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>
        <f t="shared" si="21"/>
        <v>24</v>
      </c>
      <c r="G494" t="s">
        <v>74</v>
      </c>
      <c r="H494">
        <v>595</v>
      </c>
      <c r="I494" s="4">
        <f t="shared" si="22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9">
        <f>(((L494/60)/60)/24)+DATE(1970,1,1)</f>
        <v>40336.208333333336</v>
      </c>
      <c r="O494" s="9">
        <f t="shared" si="23"/>
        <v>40371.208333333336</v>
      </c>
      <c r="P494" t="b">
        <v>1</v>
      </c>
      <c r="Q494" t="b">
        <v>1</v>
      </c>
      <c r="R494" t="s">
        <v>100</v>
      </c>
      <c r="S494" t="s">
        <v>2041</v>
      </c>
      <c r="T494" t="s">
        <v>2052</v>
      </c>
    </row>
    <row r="495" spans="1:20" ht="17" hidden="1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>
        <f t="shared" si="21"/>
        <v>724</v>
      </c>
      <c r="G495" t="s">
        <v>20</v>
      </c>
      <c r="H495">
        <v>64</v>
      </c>
      <c r="I495" s="4">
        <f t="shared" si="22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9">
        <f>(((L495/60)/60)/24)+DATE(1970,1,1)</f>
        <v>43645.208333333328</v>
      </c>
      <c r="O495" s="9">
        <f t="shared" si="23"/>
        <v>43658.208333333328</v>
      </c>
      <c r="P495" t="b">
        <v>0</v>
      </c>
      <c r="Q495" t="b">
        <v>0</v>
      </c>
      <c r="R495" t="s">
        <v>122</v>
      </c>
      <c r="S495" t="s">
        <v>2054</v>
      </c>
      <c r="T495" t="s">
        <v>2055</v>
      </c>
    </row>
    <row r="496" spans="1:20" ht="17" hidden="1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>
        <f t="shared" si="21"/>
        <v>547</v>
      </c>
      <c r="G496" t="s">
        <v>20</v>
      </c>
      <c r="H496">
        <v>268</v>
      </c>
      <c r="I496" s="4">
        <f t="shared" si="22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9">
        <f>(((L496/60)/60)/24)+DATE(1970,1,1)</f>
        <v>40990.208333333336</v>
      </c>
      <c r="O496" s="9">
        <f t="shared" si="23"/>
        <v>40991.208333333336</v>
      </c>
      <c r="P496" t="b">
        <v>0</v>
      </c>
      <c r="Q496" t="b">
        <v>0</v>
      </c>
      <c r="R496" t="s">
        <v>65</v>
      </c>
      <c r="S496" t="s">
        <v>2037</v>
      </c>
      <c r="T496" t="s">
        <v>2046</v>
      </c>
    </row>
    <row r="497" spans="1:20" ht="17" hidden="1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>
        <f t="shared" si="21"/>
        <v>415</v>
      </c>
      <c r="G497" t="s">
        <v>20</v>
      </c>
      <c r="H497">
        <v>195</v>
      </c>
      <c r="I497" s="4">
        <f t="shared" si="22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9">
        <f>(((L497/60)/60)/24)+DATE(1970,1,1)</f>
        <v>41800.208333333336</v>
      </c>
      <c r="O497" s="9">
        <f t="shared" si="23"/>
        <v>41804.208333333336</v>
      </c>
      <c r="P497" t="b">
        <v>0</v>
      </c>
      <c r="Q497" t="b">
        <v>0</v>
      </c>
      <c r="R497" t="s">
        <v>33</v>
      </c>
      <c r="S497" t="s">
        <v>2039</v>
      </c>
      <c r="T497" t="s">
        <v>2040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>
        <f t="shared" si="21"/>
        <v>1</v>
      </c>
      <c r="G498" t="s">
        <v>14</v>
      </c>
      <c r="H498">
        <v>54</v>
      </c>
      <c r="I498" s="4">
        <f t="shared" si="22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9">
        <f>(((L498/60)/60)/24)+DATE(1970,1,1)</f>
        <v>42876.208333333328</v>
      </c>
      <c r="O498" s="9">
        <f t="shared" si="23"/>
        <v>42893.208333333328</v>
      </c>
      <c r="P498" t="b">
        <v>0</v>
      </c>
      <c r="Q498" t="b">
        <v>0</v>
      </c>
      <c r="R498" t="s">
        <v>71</v>
      </c>
      <c r="S498" t="s">
        <v>2041</v>
      </c>
      <c r="T498" t="s">
        <v>2049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>
        <f t="shared" si="21"/>
        <v>34</v>
      </c>
      <c r="G499" t="s">
        <v>14</v>
      </c>
      <c r="H499">
        <v>120</v>
      </c>
      <c r="I499" s="4">
        <f t="shared" si="22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9">
        <f>(((L499/60)/60)/24)+DATE(1970,1,1)</f>
        <v>42724.25</v>
      </c>
      <c r="O499" s="9">
        <f t="shared" si="23"/>
        <v>42724.25</v>
      </c>
      <c r="P499" t="b">
        <v>0</v>
      </c>
      <c r="Q499" t="b">
        <v>1</v>
      </c>
      <c r="R499" t="s">
        <v>65</v>
      </c>
      <c r="S499" t="s">
        <v>2037</v>
      </c>
      <c r="T499" t="s">
        <v>2046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>
        <f t="shared" si="21"/>
        <v>24</v>
      </c>
      <c r="G500" t="s">
        <v>14</v>
      </c>
      <c r="H500">
        <v>579</v>
      </c>
      <c r="I500" s="4">
        <f t="shared" si="22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9">
        <f>(((L500/60)/60)/24)+DATE(1970,1,1)</f>
        <v>42005.25</v>
      </c>
      <c r="O500" s="9">
        <f t="shared" si="23"/>
        <v>42007.25</v>
      </c>
      <c r="P500" t="b">
        <v>0</v>
      </c>
      <c r="Q500" t="b">
        <v>0</v>
      </c>
      <c r="R500" t="s">
        <v>28</v>
      </c>
      <c r="S500" t="s">
        <v>2037</v>
      </c>
      <c r="T500" t="s">
        <v>2038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>
        <f t="shared" si="21"/>
        <v>48</v>
      </c>
      <c r="G501" t="s">
        <v>14</v>
      </c>
      <c r="H501">
        <v>2072</v>
      </c>
      <c r="I501" s="4">
        <f t="shared" si="22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9">
        <f>(((L501/60)/60)/24)+DATE(1970,1,1)</f>
        <v>42444.208333333328</v>
      </c>
      <c r="O501" s="9">
        <f t="shared" si="23"/>
        <v>42449.208333333328</v>
      </c>
      <c r="P501" t="b">
        <v>0</v>
      </c>
      <c r="Q501" t="b">
        <v>1</v>
      </c>
      <c r="R501" t="s">
        <v>42</v>
      </c>
      <c r="S501" t="s">
        <v>2041</v>
      </c>
      <c r="T501" t="s">
        <v>2042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>
        <f t="shared" si="21"/>
        <v>0</v>
      </c>
      <c r="G502" t="s">
        <v>14</v>
      </c>
      <c r="H502">
        <v>0</v>
      </c>
      <c r="I502" s="4" t="e">
        <f t="shared" si="22"/>
        <v>#DIV/0!</v>
      </c>
      <c r="J502" t="s">
        <v>21</v>
      </c>
      <c r="K502" t="s">
        <v>22</v>
      </c>
      <c r="L502">
        <v>1367384400</v>
      </c>
      <c r="M502">
        <v>1369803600</v>
      </c>
      <c r="N502" s="9">
        <f>(((L502/60)/60)/24)+DATE(1970,1,1)</f>
        <v>41395.208333333336</v>
      </c>
      <c r="O502" s="9">
        <f t="shared" si="23"/>
        <v>41423.208333333336</v>
      </c>
      <c r="P502" t="b">
        <v>0</v>
      </c>
      <c r="Q502" t="b">
        <v>1</v>
      </c>
      <c r="R502" t="s">
        <v>33</v>
      </c>
      <c r="S502" t="s">
        <v>2039</v>
      </c>
      <c r="T502" t="s">
        <v>2040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>
        <f t="shared" si="21"/>
        <v>70</v>
      </c>
      <c r="G503" t="s">
        <v>14</v>
      </c>
      <c r="H503">
        <v>1796</v>
      </c>
      <c r="I503" s="4">
        <f t="shared" si="22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9">
        <f>(((L503/60)/60)/24)+DATE(1970,1,1)</f>
        <v>41345.208333333336</v>
      </c>
      <c r="O503" s="9">
        <f t="shared" si="23"/>
        <v>41347.208333333336</v>
      </c>
      <c r="P503" t="b">
        <v>0</v>
      </c>
      <c r="Q503" t="b">
        <v>0</v>
      </c>
      <c r="R503" t="s">
        <v>42</v>
      </c>
      <c r="S503" t="s">
        <v>2041</v>
      </c>
      <c r="T503" t="s">
        <v>2042</v>
      </c>
    </row>
    <row r="504" spans="1:20" ht="17" hidden="1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>
        <f t="shared" si="21"/>
        <v>530</v>
      </c>
      <c r="G504" t="s">
        <v>20</v>
      </c>
      <c r="H504">
        <v>186</v>
      </c>
      <c r="I504" s="4">
        <f t="shared" si="22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9">
        <f>(((L504/60)/60)/24)+DATE(1970,1,1)</f>
        <v>41117.208333333336</v>
      </c>
      <c r="O504" s="9">
        <f t="shared" si="23"/>
        <v>41146.208333333336</v>
      </c>
      <c r="P504" t="b">
        <v>0</v>
      </c>
      <c r="Q504" t="b">
        <v>1</v>
      </c>
      <c r="R504" t="s">
        <v>89</v>
      </c>
      <c r="S504" t="s">
        <v>2050</v>
      </c>
      <c r="T504" t="s">
        <v>2051</v>
      </c>
    </row>
    <row r="505" spans="1:20" ht="34" hidden="1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>
        <f t="shared" si="21"/>
        <v>180</v>
      </c>
      <c r="G505" t="s">
        <v>20</v>
      </c>
      <c r="H505">
        <v>460</v>
      </c>
      <c r="I505" s="4">
        <f t="shared" si="22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9">
        <f>(((L505/60)/60)/24)+DATE(1970,1,1)</f>
        <v>42186.208333333328</v>
      </c>
      <c r="O505" s="9">
        <f t="shared" si="23"/>
        <v>42206.208333333328</v>
      </c>
      <c r="P505" t="b">
        <v>0</v>
      </c>
      <c r="Q505" t="b">
        <v>0</v>
      </c>
      <c r="R505" t="s">
        <v>53</v>
      </c>
      <c r="S505" t="s">
        <v>2041</v>
      </c>
      <c r="T505" t="s">
        <v>2044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>
        <f t="shared" si="21"/>
        <v>92</v>
      </c>
      <c r="G506" t="s">
        <v>14</v>
      </c>
      <c r="H506">
        <v>62</v>
      </c>
      <c r="I506" s="4">
        <f t="shared" si="22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9">
        <f>(((L506/60)/60)/24)+DATE(1970,1,1)</f>
        <v>42142.208333333328</v>
      </c>
      <c r="O506" s="9">
        <f t="shared" si="23"/>
        <v>42143.208333333328</v>
      </c>
      <c r="P506" t="b">
        <v>0</v>
      </c>
      <c r="Q506" t="b">
        <v>0</v>
      </c>
      <c r="R506" t="s">
        <v>23</v>
      </c>
      <c r="S506" t="s">
        <v>2035</v>
      </c>
      <c r="T506" t="s">
        <v>2036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>
        <f t="shared" si="21"/>
        <v>14</v>
      </c>
      <c r="G507" t="s">
        <v>14</v>
      </c>
      <c r="H507">
        <v>347</v>
      </c>
      <c r="I507" s="4">
        <f t="shared" si="22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9">
        <f>(((L507/60)/60)/24)+DATE(1970,1,1)</f>
        <v>41341.25</v>
      </c>
      <c r="O507" s="9">
        <f t="shared" si="23"/>
        <v>41383.208333333336</v>
      </c>
      <c r="P507" t="b">
        <v>0</v>
      </c>
      <c r="Q507" t="b">
        <v>1</v>
      </c>
      <c r="R507" t="s">
        <v>133</v>
      </c>
      <c r="S507" t="s">
        <v>2047</v>
      </c>
      <c r="T507" t="s">
        <v>2056</v>
      </c>
    </row>
    <row r="508" spans="1:20" ht="17" hidden="1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>
        <f t="shared" si="21"/>
        <v>927</v>
      </c>
      <c r="G508" t="s">
        <v>20</v>
      </c>
      <c r="H508">
        <v>2528</v>
      </c>
      <c r="I508" s="4">
        <f t="shared" si="22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9">
        <f>(((L508/60)/60)/24)+DATE(1970,1,1)</f>
        <v>43062.25</v>
      </c>
      <c r="O508" s="9">
        <f t="shared" si="23"/>
        <v>43079.25</v>
      </c>
      <c r="P508" t="b">
        <v>0</v>
      </c>
      <c r="Q508" t="b">
        <v>1</v>
      </c>
      <c r="R508" t="s">
        <v>33</v>
      </c>
      <c r="S508" t="s">
        <v>2039</v>
      </c>
      <c r="T508" t="s">
        <v>2040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>
        <f t="shared" si="21"/>
        <v>40</v>
      </c>
      <c r="G509" t="s">
        <v>14</v>
      </c>
      <c r="H509">
        <v>19</v>
      </c>
      <c r="I509" s="4">
        <f t="shared" si="22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9">
        <f>(((L509/60)/60)/24)+DATE(1970,1,1)</f>
        <v>41373.208333333336</v>
      </c>
      <c r="O509" s="9">
        <f t="shared" si="23"/>
        <v>41422.208333333336</v>
      </c>
      <c r="P509" t="b">
        <v>0</v>
      </c>
      <c r="Q509" t="b">
        <v>1</v>
      </c>
      <c r="R509" t="s">
        <v>28</v>
      </c>
      <c r="S509" t="s">
        <v>2037</v>
      </c>
      <c r="T509" t="s">
        <v>2038</v>
      </c>
    </row>
    <row r="510" spans="1:20" ht="17" hidden="1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>
        <f t="shared" si="21"/>
        <v>112</v>
      </c>
      <c r="G510" t="s">
        <v>20</v>
      </c>
      <c r="H510">
        <v>3657</v>
      </c>
      <c r="I510" s="4">
        <f t="shared" si="22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9">
        <f>(((L510/60)/60)/24)+DATE(1970,1,1)</f>
        <v>43310.208333333328</v>
      </c>
      <c r="O510" s="9">
        <f t="shared" si="23"/>
        <v>43331.208333333328</v>
      </c>
      <c r="P510" t="b">
        <v>0</v>
      </c>
      <c r="Q510" t="b">
        <v>0</v>
      </c>
      <c r="R510" t="s">
        <v>33</v>
      </c>
      <c r="S510" t="s">
        <v>2039</v>
      </c>
      <c r="T510" t="s">
        <v>2040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>
        <f t="shared" si="21"/>
        <v>71</v>
      </c>
      <c r="G511" t="s">
        <v>14</v>
      </c>
      <c r="H511">
        <v>1258</v>
      </c>
      <c r="I511" s="4">
        <f t="shared" si="22"/>
        <v>95</v>
      </c>
      <c r="J511" t="s">
        <v>21</v>
      </c>
      <c r="K511" t="s">
        <v>22</v>
      </c>
      <c r="L511">
        <v>1336194000</v>
      </c>
      <c r="M511">
        <v>1337058000</v>
      </c>
      <c r="N511" s="9">
        <f>(((L511/60)/60)/24)+DATE(1970,1,1)</f>
        <v>41034.208333333336</v>
      </c>
      <c r="O511" s="9">
        <f t="shared" si="23"/>
        <v>41044.208333333336</v>
      </c>
      <c r="P511" t="b">
        <v>0</v>
      </c>
      <c r="Q511" t="b">
        <v>0</v>
      </c>
      <c r="R511" t="s">
        <v>33</v>
      </c>
      <c r="S511" t="s">
        <v>2039</v>
      </c>
      <c r="T511" t="s">
        <v>2040</v>
      </c>
    </row>
    <row r="512" spans="1:20" ht="17" hidden="1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>
        <f t="shared" si="21"/>
        <v>119</v>
      </c>
      <c r="G512" t="s">
        <v>20</v>
      </c>
      <c r="H512">
        <v>131</v>
      </c>
      <c r="I512" s="4">
        <f t="shared" si="22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9">
        <f>(((L512/60)/60)/24)+DATE(1970,1,1)</f>
        <v>43251.208333333328</v>
      </c>
      <c r="O512" s="9">
        <f t="shared" si="23"/>
        <v>43275.208333333328</v>
      </c>
      <c r="P512" t="b">
        <v>0</v>
      </c>
      <c r="Q512" t="b">
        <v>0</v>
      </c>
      <c r="R512" t="s">
        <v>53</v>
      </c>
      <c r="S512" t="s">
        <v>2041</v>
      </c>
      <c r="T512" t="s">
        <v>2044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>
        <f t="shared" si="21"/>
        <v>24</v>
      </c>
      <c r="G513" t="s">
        <v>14</v>
      </c>
      <c r="H513">
        <v>362</v>
      </c>
      <c r="I513" s="4">
        <f t="shared" si="22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9">
        <f>(((L513/60)/60)/24)+DATE(1970,1,1)</f>
        <v>43671.208333333328</v>
      </c>
      <c r="O513" s="9">
        <f t="shared" si="23"/>
        <v>43681.208333333328</v>
      </c>
      <c r="P513" t="b">
        <v>0</v>
      </c>
      <c r="Q513" t="b">
        <v>0</v>
      </c>
      <c r="R513" t="s">
        <v>33</v>
      </c>
      <c r="S513" t="s">
        <v>2039</v>
      </c>
      <c r="T513" t="s">
        <v>2040</v>
      </c>
    </row>
    <row r="514" spans="1:20" ht="17" hidden="1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>
        <f t="shared" si="21"/>
        <v>139</v>
      </c>
      <c r="G514" t="s">
        <v>20</v>
      </c>
      <c r="H514">
        <v>239</v>
      </c>
      <c r="I514" s="4">
        <f t="shared" si="22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9">
        <f>(((L514/60)/60)/24)+DATE(1970,1,1)</f>
        <v>41825.208333333336</v>
      </c>
      <c r="O514" s="9">
        <f t="shared" si="23"/>
        <v>41826.208333333336</v>
      </c>
      <c r="P514" t="b">
        <v>0</v>
      </c>
      <c r="Q514" t="b">
        <v>1</v>
      </c>
      <c r="R514" t="s">
        <v>89</v>
      </c>
      <c r="S514" t="s">
        <v>2050</v>
      </c>
      <c r="T514" t="s">
        <v>2051</v>
      </c>
    </row>
    <row r="515" spans="1:20" ht="17" hidden="1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>
        <f t="shared" ref="F515:F578" si="24">ROUND(E515/D515*100,0)</f>
        <v>39</v>
      </c>
      <c r="G515" t="s">
        <v>74</v>
      </c>
      <c r="H515">
        <v>35</v>
      </c>
      <c r="I515" s="4">
        <f t="shared" ref="I515:I578" si="25">AVERAGE(E515/H515)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9">
        <f>(((L515/60)/60)/24)+DATE(1970,1,1)</f>
        <v>40430.208333333336</v>
      </c>
      <c r="O515" s="9">
        <f t="shared" ref="O515:O578" si="26">(((M515/60)/60)/24)+DATE(1970,1,1)</f>
        <v>40432.208333333336</v>
      </c>
      <c r="P515" t="b">
        <v>0</v>
      </c>
      <c r="Q515" t="b">
        <v>0</v>
      </c>
      <c r="R515" t="s">
        <v>269</v>
      </c>
      <c r="S515" t="s">
        <v>2041</v>
      </c>
      <c r="T515" t="s">
        <v>2060</v>
      </c>
    </row>
    <row r="516" spans="1:20" ht="17" hidden="1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>
        <f t="shared" si="24"/>
        <v>22</v>
      </c>
      <c r="G516" t="s">
        <v>74</v>
      </c>
      <c r="H516">
        <v>528</v>
      </c>
      <c r="I516" s="4">
        <f t="shared" si="25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9">
        <f>(((L516/60)/60)/24)+DATE(1970,1,1)</f>
        <v>41614.25</v>
      </c>
      <c r="O516" s="9">
        <f t="shared" si="26"/>
        <v>41619.25</v>
      </c>
      <c r="P516" t="b">
        <v>0</v>
      </c>
      <c r="Q516" t="b">
        <v>1</v>
      </c>
      <c r="R516" t="s">
        <v>23</v>
      </c>
      <c r="S516" t="s">
        <v>2035</v>
      </c>
      <c r="T516" t="s">
        <v>2036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>
        <f t="shared" si="24"/>
        <v>56</v>
      </c>
      <c r="G517" t="s">
        <v>14</v>
      </c>
      <c r="H517">
        <v>133</v>
      </c>
      <c r="I517" s="4">
        <f t="shared" si="2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9">
        <f>(((L517/60)/60)/24)+DATE(1970,1,1)</f>
        <v>40900.25</v>
      </c>
      <c r="O517" s="9">
        <f t="shared" si="26"/>
        <v>40902.25</v>
      </c>
      <c r="P517" t="b">
        <v>0</v>
      </c>
      <c r="Q517" t="b">
        <v>1</v>
      </c>
      <c r="R517" t="s">
        <v>33</v>
      </c>
      <c r="S517" t="s">
        <v>2039</v>
      </c>
      <c r="T517" t="s">
        <v>2040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>
        <f t="shared" si="24"/>
        <v>43</v>
      </c>
      <c r="G518" t="s">
        <v>14</v>
      </c>
      <c r="H518">
        <v>846</v>
      </c>
      <c r="I518" s="4">
        <f t="shared" si="25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9">
        <f>(((L518/60)/60)/24)+DATE(1970,1,1)</f>
        <v>40396.208333333336</v>
      </c>
      <c r="O518" s="9">
        <f t="shared" si="26"/>
        <v>40434.208333333336</v>
      </c>
      <c r="P518" t="b">
        <v>0</v>
      </c>
      <c r="Q518" t="b">
        <v>0</v>
      </c>
      <c r="R518" t="s">
        <v>68</v>
      </c>
      <c r="S518" t="s">
        <v>2047</v>
      </c>
      <c r="T518" t="s">
        <v>2048</v>
      </c>
    </row>
    <row r="519" spans="1:20" ht="17" hidden="1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>
        <f t="shared" si="24"/>
        <v>112</v>
      </c>
      <c r="G519" t="s">
        <v>20</v>
      </c>
      <c r="H519">
        <v>78</v>
      </c>
      <c r="I519" s="4">
        <f t="shared" si="25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9">
        <f>(((L519/60)/60)/24)+DATE(1970,1,1)</f>
        <v>42860.208333333328</v>
      </c>
      <c r="O519" s="9">
        <f t="shared" si="26"/>
        <v>42865.208333333328</v>
      </c>
      <c r="P519" t="b">
        <v>0</v>
      </c>
      <c r="Q519" t="b">
        <v>0</v>
      </c>
      <c r="R519" t="s">
        <v>17</v>
      </c>
      <c r="S519" t="s">
        <v>2033</v>
      </c>
      <c r="T519" t="s">
        <v>2034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>
        <f t="shared" si="24"/>
        <v>7</v>
      </c>
      <c r="G520" t="s">
        <v>14</v>
      </c>
      <c r="H520">
        <v>10</v>
      </c>
      <c r="I520" s="4">
        <f t="shared" si="25"/>
        <v>62.2</v>
      </c>
      <c r="J520" t="s">
        <v>21</v>
      </c>
      <c r="K520" t="s">
        <v>22</v>
      </c>
      <c r="L520">
        <v>1519365600</v>
      </c>
      <c r="M520">
        <v>1519538400</v>
      </c>
      <c r="N520" s="9">
        <f>(((L520/60)/60)/24)+DATE(1970,1,1)</f>
        <v>43154.25</v>
      </c>
      <c r="O520" s="9">
        <f t="shared" si="26"/>
        <v>43156.25</v>
      </c>
      <c r="P520" t="b">
        <v>0</v>
      </c>
      <c r="Q520" t="b">
        <v>1</v>
      </c>
      <c r="R520" t="s">
        <v>71</v>
      </c>
      <c r="S520" t="s">
        <v>2041</v>
      </c>
      <c r="T520" t="s">
        <v>2049</v>
      </c>
    </row>
    <row r="521" spans="1:20" ht="17" hidden="1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>
        <f t="shared" si="24"/>
        <v>102</v>
      </c>
      <c r="G521" t="s">
        <v>20</v>
      </c>
      <c r="H521">
        <v>1773</v>
      </c>
      <c r="I521" s="4">
        <f t="shared" si="25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9">
        <f>(((L521/60)/60)/24)+DATE(1970,1,1)</f>
        <v>42012.25</v>
      </c>
      <c r="O521" s="9">
        <f t="shared" si="26"/>
        <v>42026.25</v>
      </c>
      <c r="P521" t="b">
        <v>0</v>
      </c>
      <c r="Q521" t="b">
        <v>1</v>
      </c>
      <c r="R521" t="s">
        <v>23</v>
      </c>
      <c r="S521" t="s">
        <v>2035</v>
      </c>
      <c r="T521" t="s">
        <v>2036</v>
      </c>
    </row>
    <row r="522" spans="1:20" ht="17" hidden="1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>
        <f t="shared" si="24"/>
        <v>426</v>
      </c>
      <c r="G522" t="s">
        <v>20</v>
      </c>
      <c r="H522">
        <v>32</v>
      </c>
      <c r="I522" s="4">
        <f t="shared" si="25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9">
        <f>(((L522/60)/60)/24)+DATE(1970,1,1)</f>
        <v>43574.208333333328</v>
      </c>
      <c r="O522" s="9">
        <f t="shared" si="26"/>
        <v>43577.208333333328</v>
      </c>
      <c r="P522" t="b">
        <v>0</v>
      </c>
      <c r="Q522" t="b">
        <v>0</v>
      </c>
      <c r="R522" t="s">
        <v>33</v>
      </c>
      <c r="S522" t="s">
        <v>2039</v>
      </c>
      <c r="T522" t="s">
        <v>2040</v>
      </c>
    </row>
    <row r="523" spans="1:20" ht="17" hidden="1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>
        <f t="shared" si="24"/>
        <v>146</v>
      </c>
      <c r="G523" t="s">
        <v>20</v>
      </c>
      <c r="H523">
        <v>369</v>
      </c>
      <c r="I523" s="4">
        <f t="shared" si="25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9">
        <f>(((L523/60)/60)/24)+DATE(1970,1,1)</f>
        <v>42605.208333333328</v>
      </c>
      <c r="O523" s="9">
        <f t="shared" si="26"/>
        <v>42611.208333333328</v>
      </c>
      <c r="P523" t="b">
        <v>0</v>
      </c>
      <c r="Q523" t="b">
        <v>1</v>
      </c>
      <c r="R523" t="s">
        <v>53</v>
      </c>
      <c r="S523" t="s">
        <v>2041</v>
      </c>
      <c r="T523" t="s">
        <v>2044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>
        <f t="shared" si="24"/>
        <v>32</v>
      </c>
      <c r="G524" t="s">
        <v>14</v>
      </c>
      <c r="H524">
        <v>191</v>
      </c>
      <c r="I524" s="4">
        <f t="shared" si="25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9">
        <f>(((L524/60)/60)/24)+DATE(1970,1,1)</f>
        <v>41093.208333333336</v>
      </c>
      <c r="O524" s="9">
        <f t="shared" si="26"/>
        <v>41105.208333333336</v>
      </c>
      <c r="P524" t="b">
        <v>0</v>
      </c>
      <c r="Q524" t="b">
        <v>0</v>
      </c>
      <c r="R524" t="s">
        <v>100</v>
      </c>
      <c r="S524" t="s">
        <v>2041</v>
      </c>
      <c r="T524" t="s">
        <v>2052</v>
      </c>
    </row>
    <row r="525" spans="1:20" ht="17" hidden="1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>
        <f t="shared" si="24"/>
        <v>700</v>
      </c>
      <c r="G525" t="s">
        <v>20</v>
      </c>
      <c r="H525">
        <v>89</v>
      </c>
      <c r="I525" s="4">
        <f t="shared" si="25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9">
        <f>(((L525/60)/60)/24)+DATE(1970,1,1)</f>
        <v>40241.25</v>
      </c>
      <c r="O525" s="9">
        <f t="shared" si="26"/>
        <v>40246.25</v>
      </c>
      <c r="P525" t="b">
        <v>0</v>
      </c>
      <c r="Q525" t="b">
        <v>0</v>
      </c>
      <c r="R525" t="s">
        <v>100</v>
      </c>
      <c r="S525" t="s">
        <v>2041</v>
      </c>
      <c r="T525" t="s">
        <v>2052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>
        <f t="shared" si="24"/>
        <v>84</v>
      </c>
      <c r="G526" t="s">
        <v>14</v>
      </c>
      <c r="H526">
        <v>1979</v>
      </c>
      <c r="I526" s="4">
        <f t="shared" si="25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9">
        <f>(((L526/60)/60)/24)+DATE(1970,1,1)</f>
        <v>40294.208333333336</v>
      </c>
      <c r="O526" s="9">
        <f t="shared" si="26"/>
        <v>40307.208333333336</v>
      </c>
      <c r="P526" t="b">
        <v>0</v>
      </c>
      <c r="Q526" t="b">
        <v>0</v>
      </c>
      <c r="R526" t="s">
        <v>33</v>
      </c>
      <c r="S526" t="s">
        <v>2039</v>
      </c>
      <c r="T526" t="s">
        <v>2040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>
        <f t="shared" si="24"/>
        <v>84</v>
      </c>
      <c r="G527" t="s">
        <v>14</v>
      </c>
      <c r="H527">
        <v>63</v>
      </c>
      <c r="I527" s="4">
        <f t="shared" si="25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9">
        <f>(((L527/60)/60)/24)+DATE(1970,1,1)</f>
        <v>40505.25</v>
      </c>
      <c r="O527" s="9">
        <f t="shared" si="26"/>
        <v>40509.25</v>
      </c>
      <c r="P527" t="b">
        <v>0</v>
      </c>
      <c r="Q527" t="b">
        <v>0</v>
      </c>
      <c r="R527" t="s">
        <v>65</v>
      </c>
      <c r="S527" t="s">
        <v>2037</v>
      </c>
      <c r="T527" t="s">
        <v>2046</v>
      </c>
    </row>
    <row r="528" spans="1:20" ht="34" hidden="1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>
        <f t="shared" si="24"/>
        <v>156</v>
      </c>
      <c r="G528" t="s">
        <v>20</v>
      </c>
      <c r="H528">
        <v>147</v>
      </c>
      <c r="I528" s="4">
        <f t="shared" si="25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9">
        <f>(((L528/60)/60)/24)+DATE(1970,1,1)</f>
        <v>42364.25</v>
      </c>
      <c r="O528" s="9">
        <f t="shared" si="26"/>
        <v>42401.25</v>
      </c>
      <c r="P528" t="b">
        <v>0</v>
      </c>
      <c r="Q528" t="b">
        <v>1</v>
      </c>
      <c r="R528" t="s">
        <v>33</v>
      </c>
      <c r="S528" t="s">
        <v>2039</v>
      </c>
      <c r="T528" t="s">
        <v>2040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>
        <f t="shared" si="24"/>
        <v>100</v>
      </c>
      <c r="G529" t="s">
        <v>14</v>
      </c>
      <c r="H529">
        <v>6080</v>
      </c>
      <c r="I529" s="4">
        <f t="shared" si="25"/>
        <v>31</v>
      </c>
      <c r="J529" t="s">
        <v>15</v>
      </c>
      <c r="K529" t="s">
        <v>16</v>
      </c>
      <c r="L529">
        <v>1454652000</v>
      </c>
      <c r="M529">
        <v>1457762400</v>
      </c>
      <c r="N529" s="9">
        <f>(((L529/60)/60)/24)+DATE(1970,1,1)</f>
        <v>42405.25</v>
      </c>
      <c r="O529" s="9">
        <f t="shared" si="26"/>
        <v>42441.25</v>
      </c>
      <c r="P529" t="b">
        <v>0</v>
      </c>
      <c r="Q529" t="b">
        <v>0</v>
      </c>
      <c r="R529" t="s">
        <v>71</v>
      </c>
      <c r="S529" t="s">
        <v>2041</v>
      </c>
      <c r="T529" t="s">
        <v>2049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>
        <f t="shared" si="24"/>
        <v>80</v>
      </c>
      <c r="G530" t="s">
        <v>14</v>
      </c>
      <c r="H530">
        <v>80</v>
      </c>
      <c r="I530" s="4">
        <f t="shared" si="25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9">
        <f>(((L530/60)/60)/24)+DATE(1970,1,1)</f>
        <v>41601.25</v>
      </c>
      <c r="O530" s="9">
        <f t="shared" si="26"/>
        <v>41646.25</v>
      </c>
      <c r="P530" t="b">
        <v>0</v>
      </c>
      <c r="Q530" t="b">
        <v>0</v>
      </c>
      <c r="R530" t="s">
        <v>60</v>
      </c>
      <c r="S530" t="s">
        <v>2035</v>
      </c>
      <c r="T530" t="s">
        <v>2045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>
        <f t="shared" si="24"/>
        <v>11</v>
      </c>
      <c r="G531" t="s">
        <v>14</v>
      </c>
      <c r="H531">
        <v>9</v>
      </c>
      <c r="I531" s="4">
        <f t="shared" si="25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9">
        <f>(((L531/60)/60)/24)+DATE(1970,1,1)</f>
        <v>41769.208333333336</v>
      </c>
      <c r="O531" s="9">
        <f t="shared" si="26"/>
        <v>41797.208333333336</v>
      </c>
      <c r="P531" t="b">
        <v>0</v>
      </c>
      <c r="Q531" t="b">
        <v>0</v>
      </c>
      <c r="R531" t="s">
        <v>89</v>
      </c>
      <c r="S531" t="s">
        <v>2050</v>
      </c>
      <c r="T531" t="s">
        <v>2051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>
        <f t="shared" si="24"/>
        <v>92</v>
      </c>
      <c r="G532" t="s">
        <v>14</v>
      </c>
      <c r="H532">
        <v>1784</v>
      </c>
      <c r="I532" s="4">
        <f t="shared" si="25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9">
        <f>(((L532/60)/60)/24)+DATE(1970,1,1)</f>
        <v>40421.208333333336</v>
      </c>
      <c r="O532" s="9">
        <f t="shared" si="26"/>
        <v>40435.208333333336</v>
      </c>
      <c r="P532" t="b">
        <v>0</v>
      </c>
      <c r="Q532" t="b">
        <v>1</v>
      </c>
      <c r="R532" t="s">
        <v>119</v>
      </c>
      <c r="S532" t="s">
        <v>2047</v>
      </c>
      <c r="T532" t="s">
        <v>2053</v>
      </c>
    </row>
    <row r="533" spans="1:20" ht="34" hidden="1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>
        <f t="shared" si="24"/>
        <v>96</v>
      </c>
      <c r="G533" t="s">
        <v>47</v>
      </c>
      <c r="H533">
        <v>3640</v>
      </c>
      <c r="I533" s="4">
        <f t="shared" si="25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9">
        <f>(((L533/60)/60)/24)+DATE(1970,1,1)</f>
        <v>41589.25</v>
      </c>
      <c r="O533" s="9">
        <f t="shared" si="26"/>
        <v>41645.25</v>
      </c>
      <c r="P533" t="b">
        <v>0</v>
      </c>
      <c r="Q533" t="b">
        <v>0</v>
      </c>
      <c r="R533" t="s">
        <v>89</v>
      </c>
      <c r="S533" t="s">
        <v>2050</v>
      </c>
      <c r="T533" t="s">
        <v>2051</v>
      </c>
    </row>
    <row r="534" spans="1:20" ht="17" hidden="1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>
        <f t="shared" si="24"/>
        <v>503</v>
      </c>
      <c r="G534" t="s">
        <v>20</v>
      </c>
      <c r="H534">
        <v>126</v>
      </c>
      <c r="I534" s="4">
        <f t="shared" si="2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9">
        <f>(((L534/60)/60)/24)+DATE(1970,1,1)</f>
        <v>43125.25</v>
      </c>
      <c r="O534" s="9">
        <f t="shared" si="26"/>
        <v>43126.25</v>
      </c>
      <c r="P534" t="b">
        <v>0</v>
      </c>
      <c r="Q534" t="b">
        <v>0</v>
      </c>
      <c r="R534" t="s">
        <v>33</v>
      </c>
      <c r="S534" t="s">
        <v>2039</v>
      </c>
      <c r="T534" t="s">
        <v>2040</v>
      </c>
    </row>
    <row r="535" spans="1:20" ht="17" hidden="1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>
        <f t="shared" si="24"/>
        <v>159</v>
      </c>
      <c r="G535" t="s">
        <v>20</v>
      </c>
      <c r="H535">
        <v>2218</v>
      </c>
      <c r="I535" s="4">
        <f t="shared" si="25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9">
        <f>(((L535/60)/60)/24)+DATE(1970,1,1)</f>
        <v>41479.208333333336</v>
      </c>
      <c r="O535" s="9">
        <f t="shared" si="26"/>
        <v>41515.208333333336</v>
      </c>
      <c r="P535" t="b">
        <v>0</v>
      </c>
      <c r="Q535" t="b">
        <v>0</v>
      </c>
      <c r="R535" t="s">
        <v>60</v>
      </c>
      <c r="S535" t="s">
        <v>2035</v>
      </c>
      <c r="T535" t="s">
        <v>2045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>
        <f t="shared" si="24"/>
        <v>15</v>
      </c>
      <c r="G536" t="s">
        <v>14</v>
      </c>
      <c r="H536">
        <v>243</v>
      </c>
      <c r="I536" s="4">
        <f t="shared" si="25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9">
        <f>(((L536/60)/60)/24)+DATE(1970,1,1)</f>
        <v>43329.208333333328</v>
      </c>
      <c r="O536" s="9">
        <f t="shared" si="26"/>
        <v>43330.208333333328</v>
      </c>
      <c r="P536" t="b">
        <v>0</v>
      </c>
      <c r="Q536" t="b">
        <v>1</v>
      </c>
      <c r="R536" t="s">
        <v>53</v>
      </c>
      <c r="S536" t="s">
        <v>2041</v>
      </c>
      <c r="T536" t="s">
        <v>2044</v>
      </c>
    </row>
    <row r="537" spans="1:20" ht="17" hidden="1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>
        <f t="shared" si="24"/>
        <v>482</v>
      </c>
      <c r="G537" t="s">
        <v>20</v>
      </c>
      <c r="H537">
        <v>202</v>
      </c>
      <c r="I537" s="4">
        <f t="shared" si="25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9">
        <f>(((L537/60)/60)/24)+DATE(1970,1,1)</f>
        <v>43259.208333333328</v>
      </c>
      <c r="O537" s="9">
        <f t="shared" si="26"/>
        <v>43261.208333333328</v>
      </c>
      <c r="P537" t="b">
        <v>0</v>
      </c>
      <c r="Q537" t="b">
        <v>1</v>
      </c>
      <c r="R537" t="s">
        <v>33</v>
      </c>
      <c r="S537" t="s">
        <v>2039</v>
      </c>
      <c r="T537" t="s">
        <v>2040</v>
      </c>
    </row>
    <row r="538" spans="1:20" ht="17" hidden="1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>
        <f t="shared" si="24"/>
        <v>150</v>
      </c>
      <c r="G538" t="s">
        <v>20</v>
      </c>
      <c r="H538">
        <v>140</v>
      </c>
      <c r="I538" s="4">
        <f t="shared" si="25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9">
        <f>(((L538/60)/60)/24)+DATE(1970,1,1)</f>
        <v>40414.208333333336</v>
      </c>
      <c r="O538" s="9">
        <f t="shared" si="26"/>
        <v>40440.208333333336</v>
      </c>
      <c r="P538" t="b">
        <v>0</v>
      </c>
      <c r="Q538" t="b">
        <v>0</v>
      </c>
      <c r="R538" t="s">
        <v>119</v>
      </c>
      <c r="S538" t="s">
        <v>2047</v>
      </c>
      <c r="T538" t="s">
        <v>2053</v>
      </c>
    </row>
    <row r="539" spans="1:20" ht="17" hidden="1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>
        <f t="shared" si="24"/>
        <v>117</v>
      </c>
      <c r="G539" t="s">
        <v>20</v>
      </c>
      <c r="H539">
        <v>1052</v>
      </c>
      <c r="I539" s="4">
        <f t="shared" si="25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9">
        <f>(((L539/60)/60)/24)+DATE(1970,1,1)</f>
        <v>43342.208333333328</v>
      </c>
      <c r="O539" s="9">
        <f t="shared" si="26"/>
        <v>43365.208333333328</v>
      </c>
      <c r="P539" t="b">
        <v>1</v>
      </c>
      <c r="Q539" t="b">
        <v>1</v>
      </c>
      <c r="R539" t="s">
        <v>42</v>
      </c>
      <c r="S539" t="s">
        <v>2041</v>
      </c>
      <c r="T539" t="s">
        <v>2042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>
        <f t="shared" si="24"/>
        <v>38</v>
      </c>
      <c r="G540" t="s">
        <v>14</v>
      </c>
      <c r="H540">
        <v>1296</v>
      </c>
      <c r="I540" s="4">
        <f t="shared" si="25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9">
        <f>(((L540/60)/60)/24)+DATE(1970,1,1)</f>
        <v>41539.208333333336</v>
      </c>
      <c r="O540" s="9">
        <f t="shared" si="26"/>
        <v>41555.208333333336</v>
      </c>
      <c r="P540" t="b">
        <v>0</v>
      </c>
      <c r="Q540" t="b">
        <v>0</v>
      </c>
      <c r="R540" t="s">
        <v>292</v>
      </c>
      <c r="S540" t="s">
        <v>2050</v>
      </c>
      <c r="T540" t="s">
        <v>2061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>
        <f t="shared" si="24"/>
        <v>73</v>
      </c>
      <c r="G541" t="s">
        <v>14</v>
      </c>
      <c r="H541">
        <v>77</v>
      </c>
      <c r="I541" s="4">
        <f t="shared" si="25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9">
        <f>(((L541/60)/60)/24)+DATE(1970,1,1)</f>
        <v>43647.208333333328</v>
      </c>
      <c r="O541" s="9">
        <f t="shared" si="26"/>
        <v>43653.208333333328</v>
      </c>
      <c r="P541" t="b">
        <v>0</v>
      </c>
      <c r="Q541" t="b">
        <v>1</v>
      </c>
      <c r="R541" t="s">
        <v>17</v>
      </c>
      <c r="S541" t="s">
        <v>2033</v>
      </c>
      <c r="T541" t="s">
        <v>2034</v>
      </c>
    </row>
    <row r="542" spans="1:20" ht="17" hidden="1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>
        <f t="shared" si="24"/>
        <v>266</v>
      </c>
      <c r="G542" t="s">
        <v>20</v>
      </c>
      <c r="H542">
        <v>247</v>
      </c>
      <c r="I542" s="4">
        <f t="shared" si="25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9">
        <f>(((L542/60)/60)/24)+DATE(1970,1,1)</f>
        <v>43225.208333333328</v>
      </c>
      <c r="O542" s="9">
        <f t="shared" si="26"/>
        <v>43247.208333333328</v>
      </c>
      <c r="P542" t="b">
        <v>0</v>
      </c>
      <c r="Q542" t="b">
        <v>0</v>
      </c>
      <c r="R542" t="s">
        <v>122</v>
      </c>
      <c r="S542" t="s">
        <v>2054</v>
      </c>
      <c r="T542" t="s">
        <v>2055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>
        <f t="shared" si="24"/>
        <v>24</v>
      </c>
      <c r="G543" t="s">
        <v>14</v>
      </c>
      <c r="H543">
        <v>395</v>
      </c>
      <c r="I543" s="4">
        <f t="shared" si="25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9">
        <f>(((L543/60)/60)/24)+DATE(1970,1,1)</f>
        <v>42165.208333333328</v>
      </c>
      <c r="O543" s="9">
        <f t="shared" si="26"/>
        <v>42191.208333333328</v>
      </c>
      <c r="P543" t="b">
        <v>0</v>
      </c>
      <c r="Q543" t="b">
        <v>0</v>
      </c>
      <c r="R543" t="s">
        <v>292</v>
      </c>
      <c r="S543" t="s">
        <v>2050</v>
      </c>
      <c r="T543" t="s">
        <v>2061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>
        <f t="shared" si="24"/>
        <v>3</v>
      </c>
      <c r="G544" t="s">
        <v>14</v>
      </c>
      <c r="H544">
        <v>49</v>
      </c>
      <c r="I544" s="4">
        <f t="shared" si="25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9">
        <f>(((L544/60)/60)/24)+DATE(1970,1,1)</f>
        <v>42391.25</v>
      </c>
      <c r="O544" s="9">
        <f t="shared" si="26"/>
        <v>42421.25</v>
      </c>
      <c r="P544" t="b">
        <v>0</v>
      </c>
      <c r="Q544" t="b">
        <v>0</v>
      </c>
      <c r="R544" t="s">
        <v>60</v>
      </c>
      <c r="S544" t="s">
        <v>2035</v>
      </c>
      <c r="T544" t="s">
        <v>2045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>
        <f t="shared" si="24"/>
        <v>16</v>
      </c>
      <c r="G545" t="s">
        <v>14</v>
      </c>
      <c r="H545">
        <v>180</v>
      </c>
      <c r="I545" s="4">
        <f t="shared" si="25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9">
        <f>(((L545/60)/60)/24)+DATE(1970,1,1)</f>
        <v>41528.208333333336</v>
      </c>
      <c r="O545" s="9">
        <f t="shared" si="26"/>
        <v>41543.208333333336</v>
      </c>
      <c r="P545" t="b">
        <v>0</v>
      </c>
      <c r="Q545" t="b">
        <v>0</v>
      </c>
      <c r="R545" t="s">
        <v>89</v>
      </c>
      <c r="S545" t="s">
        <v>2050</v>
      </c>
      <c r="T545" t="s">
        <v>2051</v>
      </c>
    </row>
    <row r="546" spans="1:20" ht="34" hidden="1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>
        <f t="shared" si="24"/>
        <v>277</v>
      </c>
      <c r="G546" t="s">
        <v>20</v>
      </c>
      <c r="H546">
        <v>84</v>
      </c>
      <c r="I546" s="4">
        <f t="shared" si="25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9">
        <f>(((L546/60)/60)/24)+DATE(1970,1,1)</f>
        <v>42377.25</v>
      </c>
      <c r="O546" s="9">
        <f t="shared" si="26"/>
        <v>42390.25</v>
      </c>
      <c r="P546" t="b">
        <v>0</v>
      </c>
      <c r="Q546" t="b">
        <v>0</v>
      </c>
      <c r="R546" t="s">
        <v>23</v>
      </c>
      <c r="S546" t="s">
        <v>2035</v>
      </c>
      <c r="T546" t="s">
        <v>2036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>
        <f t="shared" si="24"/>
        <v>89</v>
      </c>
      <c r="G547" t="s">
        <v>14</v>
      </c>
      <c r="H547">
        <v>2690</v>
      </c>
      <c r="I547" s="4">
        <f t="shared" si="25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9">
        <f>(((L547/60)/60)/24)+DATE(1970,1,1)</f>
        <v>43824.25</v>
      </c>
      <c r="O547" s="9">
        <f t="shared" si="26"/>
        <v>43844.25</v>
      </c>
      <c r="P547" t="b">
        <v>0</v>
      </c>
      <c r="Q547" t="b">
        <v>0</v>
      </c>
      <c r="R547" t="s">
        <v>33</v>
      </c>
      <c r="S547" t="s">
        <v>2039</v>
      </c>
      <c r="T547" t="s">
        <v>2040</v>
      </c>
    </row>
    <row r="548" spans="1:20" ht="17" hidden="1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>
        <f t="shared" si="24"/>
        <v>164</v>
      </c>
      <c r="G548" t="s">
        <v>20</v>
      </c>
      <c r="H548">
        <v>88</v>
      </c>
      <c r="I548" s="4">
        <f t="shared" si="25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9">
        <f>(((L548/60)/60)/24)+DATE(1970,1,1)</f>
        <v>43360.208333333328</v>
      </c>
      <c r="O548" s="9">
        <f t="shared" si="26"/>
        <v>43363.208333333328</v>
      </c>
      <c r="P548" t="b">
        <v>0</v>
      </c>
      <c r="Q548" t="b">
        <v>1</v>
      </c>
      <c r="R548" t="s">
        <v>33</v>
      </c>
      <c r="S548" t="s">
        <v>2039</v>
      </c>
      <c r="T548" t="s">
        <v>2040</v>
      </c>
    </row>
    <row r="549" spans="1:20" ht="17" hidden="1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>
        <f t="shared" si="24"/>
        <v>969</v>
      </c>
      <c r="G549" t="s">
        <v>20</v>
      </c>
      <c r="H549">
        <v>156</v>
      </c>
      <c r="I549" s="4">
        <f t="shared" si="25"/>
        <v>80.75</v>
      </c>
      <c r="J549" t="s">
        <v>21</v>
      </c>
      <c r="K549" t="s">
        <v>22</v>
      </c>
      <c r="L549">
        <v>1422165600</v>
      </c>
      <c r="M549">
        <v>1423202400</v>
      </c>
      <c r="N549" s="9">
        <f>(((L549/60)/60)/24)+DATE(1970,1,1)</f>
        <v>42029.25</v>
      </c>
      <c r="O549" s="9">
        <f t="shared" si="26"/>
        <v>42041.25</v>
      </c>
      <c r="P549" t="b">
        <v>0</v>
      </c>
      <c r="Q549" t="b">
        <v>0</v>
      </c>
      <c r="R549" t="s">
        <v>53</v>
      </c>
      <c r="S549" t="s">
        <v>2041</v>
      </c>
      <c r="T549" t="s">
        <v>2044</v>
      </c>
    </row>
    <row r="550" spans="1:20" ht="17" hidden="1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>
        <f t="shared" si="24"/>
        <v>271</v>
      </c>
      <c r="G550" t="s">
        <v>20</v>
      </c>
      <c r="H550">
        <v>2985</v>
      </c>
      <c r="I550" s="4">
        <f t="shared" si="25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9">
        <f>(((L550/60)/60)/24)+DATE(1970,1,1)</f>
        <v>42461.208333333328</v>
      </c>
      <c r="O550" s="9">
        <f t="shared" si="26"/>
        <v>42474.208333333328</v>
      </c>
      <c r="P550" t="b">
        <v>0</v>
      </c>
      <c r="Q550" t="b">
        <v>0</v>
      </c>
      <c r="R550" t="s">
        <v>33</v>
      </c>
      <c r="S550" t="s">
        <v>2039</v>
      </c>
      <c r="T550" t="s">
        <v>2040</v>
      </c>
    </row>
    <row r="551" spans="1:20" ht="34" hidden="1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>
        <f t="shared" si="24"/>
        <v>284</v>
      </c>
      <c r="G551" t="s">
        <v>20</v>
      </c>
      <c r="H551">
        <v>762</v>
      </c>
      <c r="I551" s="4">
        <f t="shared" si="25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9">
        <f>(((L551/60)/60)/24)+DATE(1970,1,1)</f>
        <v>41422.208333333336</v>
      </c>
      <c r="O551" s="9">
        <f t="shared" si="26"/>
        <v>41431.208333333336</v>
      </c>
      <c r="P551" t="b">
        <v>0</v>
      </c>
      <c r="Q551" t="b">
        <v>0</v>
      </c>
      <c r="R551" t="s">
        <v>65</v>
      </c>
      <c r="S551" t="s">
        <v>2037</v>
      </c>
      <c r="T551" t="s">
        <v>2046</v>
      </c>
    </row>
    <row r="552" spans="1:20" ht="34" hidden="1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>
        <f t="shared" si="24"/>
        <v>4</v>
      </c>
      <c r="G552" t="s">
        <v>74</v>
      </c>
      <c r="H552">
        <v>1</v>
      </c>
      <c r="I552" s="4">
        <f t="shared" si="25"/>
        <v>4</v>
      </c>
      <c r="J552" t="s">
        <v>98</v>
      </c>
      <c r="K552" t="s">
        <v>99</v>
      </c>
      <c r="L552">
        <v>1330495200</v>
      </c>
      <c r="M552">
        <v>1332306000</v>
      </c>
      <c r="N552" s="9">
        <f>(((L552/60)/60)/24)+DATE(1970,1,1)</f>
        <v>40968.25</v>
      </c>
      <c r="O552" s="9">
        <f t="shared" si="26"/>
        <v>40989.208333333336</v>
      </c>
      <c r="P552" t="b">
        <v>0</v>
      </c>
      <c r="Q552" t="b">
        <v>0</v>
      </c>
      <c r="R552" t="s">
        <v>60</v>
      </c>
      <c r="S552" t="s">
        <v>2035</v>
      </c>
      <c r="T552" t="s">
        <v>2045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>
        <f t="shared" si="24"/>
        <v>59</v>
      </c>
      <c r="G553" t="s">
        <v>14</v>
      </c>
      <c r="H553">
        <v>2779</v>
      </c>
      <c r="I553" s="4">
        <f t="shared" si="25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9">
        <f>(((L553/60)/60)/24)+DATE(1970,1,1)</f>
        <v>41993.25</v>
      </c>
      <c r="O553" s="9">
        <f t="shared" si="26"/>
        <v>42033.25</v>
      </c>
      <c r="P553" t="b">
        <v>0</v>
      </c>
      <c r="Q553" t="b">
        <v>1</v>
      </c>
      <c r="R553" t="s">
        <v>28</v>
      </c>
      <c r="S553" t="s">
        <v>2037</v>
      </c>
      <c r="T553" t="s">
        <v>2038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>
        <f t="shared" si="24"/>
        <v>99</v>
      </c>
      <c r="G554" t="s">
        <v>14</v>
      </c>
      <c r="H554">
        <v>92</v>
      </c>
      <c r="I554" s="4">
        <f t="shared" si="25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9">
        <f>(((L554/60)/60)/24)+DATE(1970,1,1)</f>
        <v>42700.25</v>
      </c>
      <c r="O554" s="9">
        <f t="shared" si="26"/>
        <v>42702.25</v>
      </c>
      <c r="P554" t="b">
        <v>0</v>
      </c>
      <c r="Q554" t="b">
        <v>0</v>
      </c>
      <c r="R554" t="s">
        <v>33</v>
      </c>
      <c r="S554" t="s">
        <v>2039</v>
      </c>
      <c r="T554" t="s">
        <v>2040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>
        <f t="shared" si="24"/>
        <v>44</v>
      </c>
      <c r="G555" t="s">
        <v>14</v>
      </c>
      <c r="H555">
        <v>1028</v>
      </c>
      <c r="I555" s="4">
        <f t="shared" si="25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9">
        <f>(((L555/60)/60)/24)+DATE(1970,1,1)</f>
        <v>40545.25</v>
      </c>
      <c r="O555" s="9">
        <f t="shared" si="26"/>
        <v>40546.25</v>
      </c>
      <c r="P555" t="b">
        <v>0</v>
      </c>
      <c r="Q555" t="b">
        <v>0</v>
      </c>
      <c r="R555" t="s">
        <v>23</v>
      </c>
      <c r="S555" t="s">
        <v>2035</v>
      </c>
      <c r="T555" t="s">
        <v>2036</v>
      </c>
    </row>
    <row r="556" spans="1:20" ht="34" hidden="1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>
        <f t="shared" si="24"/>
        <v>152</v>
      </c>
      <c r="G556" t="s">
        <v>20</v>
      </c>
      <c r="H556">
        <v>554</v>
      </c>
      <c r="I556" s="4">
        <f t="shared" si="2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9">
        <f>(((L556/60)/60)/24)+DATE(1970,1,1)</f>
        <v>42723.25</v>
      </c>
      <c r="O556" s="9">
        <f t="shared" si="26"/>
        <v>42729.25</v>
      </c>
      <c r="P556" t="b">
        <v>0</v>
      </c>
      <c r="Q556" t="b">
        <v>0</v>
      </c>
      <c r="R556" t="s">
        <v>60</v>
      </c>
      <c r="S556" t="s">
        <v>2035</v>
      </c>
      <c r="T556" t="s">
        <v>2045</v>
      </c>
    </row>
    <row r="557" spans="1:20" ht="17" hidden="1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>
        <f t="shared" si="24"/>
        <v>224</v>
      </c>
      <c r="G557" t="s">
        <v>20</v>
      </c>
      <c r="H557">
        <v>135</v>
      </c>
      <c r="I557" s="4">
        <f t="shared" si="25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9">
        <f>(((L557/60)/60)/24)+DATE(1970,1,1)</f>
        <v>41731.208333333336</v>
      </c>
      <c r="O557" s="9">
        <f t="shared" si="26"/>
        <v>41762.208333333336</v>
      </c>
      <c r="P557" t="b">
        <v>0</v>
      </c>
      <c r="Q557" t="b">
        <v>0</v>
      </c>
      <c r="R557" t="s">
        <v>23</v>
      </c>
      <c r="S557" t="s">
        <v>2035</v>
      </c>
      <c r="T557" t="s">
        <v>2036</v>
      </c>
    </row>
    <row r="558" spans="1:20" ht="17" hidden="1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>
        <f t="shared" si="24"/>
        <v>240</v>
      </c>
      <c r="G558" t="s">
        <v>20</v>
      </c>
      <c r="H558">
        <v>122</v>
      </c>
      <c r="I558" s="4">
        <f t="shared" si="25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9">
        <f>(((L558/60)/60)/24)+DATE(1970,1,1)</f>
        <v>40792.208333333336</v>
      </c>
      <c r="O558" s="9">
        <f t="shared" si="26"/>
        <v>40799.208333333336</v>
      </c>
      <c r="P558" t="b">
        <v>0</v>
      </c>
      <c r="Q558" t="b">
        <v>1</v>
      </c>
      <c r="R558" t="s">
        <v>206</v>
      </c>
      <c r="S558" t="s">
        <v>2047</v>
      </c>
      <c r="T558" t="s">
        <v>2059</v>
      </c>
    </row>
    <row r="559" spans="1:20" ht="17" hidden="1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>
        <f t="shared" si="24"/>
        <v>199</v>
      </c>
      <c r="G559" t="s">
        <v>20</v>
      </c>
      <c r="H559">
        <v>221</v>
      </c>
      <c r="I559" s="4">
        <f t="shared" si="25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9">
        <f>(((L559/60)/60)/24)+DATE(1970,1,1)</f>
        <v>42279.208333333328</v>
      </c>
      <c r="O559" s="9">
        <f t="shared" si="26"/>
        <v>42282.208333333328</v>
      </c>
      <c r="P559" t="b">
        <v>0</v>
      </c>
      <c r="Q559" t="b">
        <v>1</v>
      </c>
      <c r="R559" t="s">
        <v>474</v>
      </c>
      <c r="S559" t="s">
        <v>2041</v>
      </c>
      <c r="T559" t="s">
        <v>2063</v>
      </c>
    </row>
    <row r="560" spans="1:20" ht="17" hidden="1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>
        <f t="shared" si="24"/>
        <v>137</v>
      </c>
      <c r="G560" t="s">
        <v>20</v>
      </c>
      <c r="H560">
        <v>126</v>
      </c>
      <c r="I560" s="4">
        <f t="shared" si="25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9">
        <f>(((L560/60)/60)/24)+DATE(1970,1,1)</f>
        <v>42424.25</v>
      </c>
      <c r="O560" s="9">
        <f t="shared" si="26"/>
        <v>42467.208333333328</v>
      </c>
      <c r="P560" t="b">
        <v>0</v>
      </c>
      <c r="Q560" t="b">
        <v>0</v>
      </c>
      <c r="R560" t="s">
        <v>33</v>
      </c>
      <c r="S560" t="s">
        <v>2039</v>
      </c>
      <c r="T560" t="s">
        <v>2040</v>
      </c>
    </row>
    <row r="561" spans="1:20" ht="17" hidden="1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>
        <f t="shared" si="24"/>
        <v>101</v>
      </c>
      <c r="G561" t="s">
        <v>20</v>
      </c>
      <c r="H561">
        <v>1022</v>
      </c>
      <c r="I561" s="4">
        <f t="shared" si="25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9">
        <f>(((L561/60)/60)/24)+DATE(1970,1,1)</f>
        <v>42584.208333333328</v>
      </c>
      <c r="O561" s="9">
        <f t="shared" si="26"/>
        <v>42591.208333333328</v>
      </c>
      <c r="P561" t="b">
        <v>0</v>
      </c>
      <c r="Q561" t="b">
        <v>0</v>
      </c>
      <c r="R561" t="s">
        <v>33</v>
      </c>
      <c r="S561" t="s">
        <v>2039</v>
      </c>
      <c r="T561" t="s">
        <v>2040</v>
      </c>
    </row>
    <row r="562" spans="1:20" ht="17" hidden="1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>
        <f t="shared" si="24"/>
        <v>794</v>
      </c>
      <c r="G562" t="s">
        <v>20</v>
      </c>
      <c r="H562">
        <v>3177</v>
      </c>
      <c r="I562" s="4">
        <f t="shared" si="25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9">
        <f>(((L562/60)/60)/24)+DATE(1970,1,1)</f>
        <v>40865.25</v>
      </c>
      <c r="O562" s="9">
        <f t="shared" si="26"/>
        <v>40905.25</v>
      </c>
      <c r="P562" t="b">
        <v>0</v>
      </c>
      <c r="Q562" t="b">
        <v>0</v>
      </c>
      <c r="R562" t="s">
        <v>71</v>
      </c>
      <c r="S562" t="s">
        <v>2041</v>
      </c>
      <c r="T562" t="s">
        <v>2049</v>
      </c>
    </row>
    <row r="563" spans="1:20" ht="17" hidden="1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>
        <f t="shared" si="24"/>
        <v>370</v>
      </c>
      <c r="G563" t="s">
        <v>20</v>
      </c>
      <c r="H563">
        <v>198</v>
      </c>
      <c r="I563" s="4">
        <f t="shared" si="25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9">
        <f>(((L563/60)/60)/24)+DATE(1970,1,1)</f>
        <v>40833.208333333336</v>
      </c>
      <c r="O563" s="9">
        <f t="shared" si="26"/>
        <v>40835.208333333336</v>
      </c>
      <c r="P563" t="b">
        <v>0</v>
      </c>
      <c r="Q563" t="b">
        <v>0</v>
      </c>
      <c r="R563" t="s">
        <v>33</v>
      </c>
      <c r="S563" t="s">
        <v>2039</v>
      </c>
      <c r="T563" t="s">
        <v>2040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>
        <f t="shared" si="24"/>
        <v>13</v>
      </c>
      <c r="G564" t="s">
        <v>14</v>
      </c>
      <c r="H564">
        <v>26</v>
      </c>
      <c r="I564" s="4">
        <f t="shared" si="25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9">
        <f>(((L564/60)/60)/24)+DATE(1970,1,1)</f>
        <v>43536.208333333328</v>
      </c>
      <c r="O564" s="9">
        <f t="shared" si="26"/>
        <v>43538.208333333328</v>
      </c>
      <c r="P564" t="b">
        <v>0</v>
      </c>
      <c r="Q564" t="b">
        <v>0</v>
      </c>
      <c r="R564" t="s">
        <v>23</v>
      </c>
      <c r="S564" t="s">
        <v>2035</v>
      </c>
      <c r="T564" t="s">
        <v>2036</v>
      </c>
    </row>
    <row r="565" spans="1:20" ht="17" hidden="1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>
        <f t="shared" si="24"/>
        <v>138</v>
      </c>
      <c r="G565" t="s">
        <v>20</v>
      </c>
      <c r="H565">
        <v>85</v>
      </c>
      <c r="I565" s="4">
        <f t="shared" si="25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9">
        <f>(((L565/60)/60)/24)+DATE(1970,1,1)</f>
        <v>43417.25</v>
      </c>
      <c r="O565" s="9">
        <f t="shared" si="26"/>
        <v>43437.25</v>
      </c>
      <c r="P565" t="b">
        <v>0</v>
      </c>
      <c r="Q565" t="b">
        <v>0</v>
      </c>
      <c r="R565" t="s">
        <v>42</v>
      </c>
      <c r="S565" t="s">
        <v>2041</v>
      </c>
      <c r="T565" t="s">
        <v>2042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>
        <f t="shared" si="24"/>
        <v>84</v>
      </c>
      <c r="G566" t="s">
        <v>14</v>
      </c>
      <c r="H566">
        <v>1790</v>
      </c>
      <c r="I566" s="4">
        <f t="shared" si="25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9">
        <f>(((L566/60)/60)/24)+DATE(1970,1,1)</f>
        <v>42078.208333333328</v>
      </c>
      <c r="O566" s="9">
        <f t="shared" si="26"/>
        <v>42086.208333333328</v>
      </c>
      <c r="P566" t="b">
        <v>0</v>
      </c>
      <c r="Q566" t="b">
        <v>0</v>
      </c>
      <c r="R566" t="s">
        <v>33</v>
      </c>
      <c r="S566" t="s">
        <v>2039</v>
      </c>
      <c r="T566" t="s">
        <v>2040</v>
      </c>
    </row>
    <row r="567" spans="1:20" ht="17" hidden="1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>
        <f t="shared" si="24"/>
        <v>205</v>
      </c>
      <c r="G567" t="s">
        <v>20</v>
      </c>
      <c r="H567">
        <v>3596</v>
      </c>
      <c r="I567" s="4">
        <f t="shared" si="25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9">
        <f>(((L567/60)/60)/24)+DATE(1970,1,1)</f>
        <v>40862.25</v>
      </c>
      <c r="O567" s="9">
        <f t="shared" si="26"/>
        <v>40882.25</v>
      </c>
      <c r="P567" t="b">
        <v>0</v>
      </c>
      <c r="Q567" t="b">
        <v>0</v>
      </c>
      <c r="R567" t="s">
        <v>33</v>
      </c>
      <c r="S567" t="s">
        <v>2039</v>
      </c>
      <c r="T567" t="s">
        <v>2040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>
        <f t="shared" si="24"/>
        <v>44</v>
      </c>
      <c r="G568" t="s">
        <v>14</v>
      </c>
      <c r="H568">
        <v>37</v>
      </c>
      <c r="I568" s="4">
        <f t="shared" si="25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9">
        <f>(((L568/60)/60)/24)+DATE(1970,1,1)</f>
        <v>42424.25</v>
      </c>
      <c r="O568" s="9">
        <f t="shared" si="26"/>
        <v>42447.208333333328</v>
      </c>
      <c r="P568" t="b">
        <v>0</v>
      </c>
      <c r="Q568" t="b">
        <v>1</v>
      </c>
      <c r="R568" t="s">
        <v>50</v>
      </c>
      <c r="S568" t="s">
        <v>2035</v>
      </c>
      <c r="T568" t="s">
        <v>2043</v>
      </c>
    </row>
    <row r="569" spans="1:20" ht="34" hidden="1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>
        <f t="shared" si="24"/>
        <v>219</v>
      </c>
      <c r="G569" t="s">
        <v>20</v>
      </c>
      <c r="H569">
        <v>244</v>
      </c>
      <c r="I569" s="4">
        <f t="shared" si="25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9">
        <f>(((L569/60)/60)/24)+DATE(1970,1,1)</f>
        <v>41830.208333333336</v>
      </c>
      <c r="O569" s="9">
        <f t="shared" si="26"/>
        <v>41832.208333333336</v>
      </c>
      <c r="P569" t="b">
        <v>0</v>
      </c>
      <c r="Q569" t="b">
        <v>0</v>
      </c>
      <c r="R569" t="s">
        <v>23</v>
      </c>
      <c r="S569" t="s">
        <v>2035</v>
      </c>
      <c r="T569" t="s">
        <v>2036</v>
      </c>
    </row>
    <row r="570" spans="1:20" ht="17" hidden="1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>
        <f t="shared" si="24"/>
        <v>186</v>
      </c>
      <c r="G570" t="s">
        <v>20</v>
      </c>
      <c r="H570">
        <v>5180</v>
      </c>
      <c r="I570" s="4">
        <f t="shared" si="25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9">
        <f>(((L570/60)/60)/24)+DATE(1970,1,1)</f>
        <v>40374.208333333336</v>
      </c>
      <c r="O570" s="9">
        <f t="shared" si="26"/>
        <v>40419.208333333336</v>
      </c>
      <c r="P570" t="b">
        <v>0</v>
      </c>
      <c r="Q570" t="b">
        <v>0</v>
      </c>
      <c r="R570" t="s">
        <v>33</v>
      </c>
      <c r="S570" t="s">
        <v>2039</v>
      </c>
      <c r="T570" t="s">
        <v>2040</v>
      </c>
    </row>
    <row r="571" spans="1:20" ht="17" hidden="1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>
        <f t="shared" si="24"/>
        <v>237</v>
      </c>
      <c r="G571" t="s">
        <v>20</v>
      </c>
      <c r="H571">
        <v>589</v>
      </c>
      <c r="I571" s="4">
        <f t="shared" si="25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9">
        <f>(((L571/60)/60)/24)+DATE(1970,1,1)</f>
        <v>40554.25</v>
      </c>
      <c r="O571" s="9">
        <f t="shared" si="26"/>
        <v>40566.25</v>
      </c>
      <c r="P571" t="b">
        <v>0</v>
      </c>
      <c r="Q571" t="b">
        <v>0</v>
      </c>
      <c r="R571" t="s">
        <v>71</v>
      </c>
      <c r="S571" t="s">
        <v>2041</v>
      </c>
      <c r="T571" t="s">
        <v>2049</v>
      </c>
    </row>
    <row r="572" spans="1:20" ht="17" hidden="1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>
        <f t="shared" si="24"/>
        <v>306</v>
      </c>
      <c r="G572" t="s">
        <v>20</v>
      </c>
      <c r="H572">
        <v>2725</v>
      </c>
      <c r="I572" s="4">
        <f t="shared" si="25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9">
        <f>(((L572/60)/60)/24)+DATE(1970,1,1)</f>
        <v>41993.25</v>
      </c>
      <c r="O572" s="9">
        <f t="shared" si="26"/>
        <v>41999.25</v>
      </c>
      <c r="P572" t="b">
        <v>0</v>
      </c>
      <c r="Q572" t="b">
        <v>1</v>
      </c>
      <c r="R572" t="s">
        <v>23</v>
      </c>
      <c r="S572" t="s">
        <v>2035</v>
      </c>
      <c r="T572" t="s">
        <v>2036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>
        <f t="shared" si="24"/>
        <v>94</v>
      </c>
      <c r="G573" t="s">
        <v>14</v>
      </c>
      <c r="H573">
        <v>35</v>
      </c>
      <c r="I573" s="4">
        <f t="shared" si="25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9">
        <f>(((L573/60)/60)/24)+DATE(1970,1,1)</f>
        <v>42174.208333333328</v>
      </c>
      <c r="O573" s="9">
        <f t="shared" si="26"/>
        <v>42221.208333333328</v>
      </c>
      <c r="P573" t="b">
        <v>0</v>
      </c>
      <c r="Q573" t="b">
        <v>0</v>
      </c>
      <c r="R573" t="s">
        <v>100</v>
      </c>
      <c r="S573" t="s">
        <v>2041</v>
      </c>
      <c r="T573" t="s">
        <v>2052</v>
      </c>
    </row>
    <row r="574" spans="1:20" ht="17" hidden="1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>
        <f t="shared" si="24"/>
        <v>54</v>
      </c>
      <c r="G574" t="s">
        <v>74</v>
      </c>
      <c r="H574">
        <v>94</v>
      </c>
      <c r="I574" s="4">
        <f t="shared" si="25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9">
        <f>(((L574/60)/60)/24)+DATE(1970,1,1)</f>
        <v>42275.208333333328</v>
      </c>
      <c r="O574" s="9">
        <f t="shared" si="26"/>
        <v>42291.208333333328</v>
      </c>
      <c r="P574" t="b">
        <v>0</v>
      </c>
      <c r="Q574" t="b">
        <v>1</v>
      </c>
      <c r="R574" t="s">
        <v>23</v>
      </c>
      <c r="S574" t="s">
        <v>2035</v>
      </c>
      <c r="T574" t="s">
        <v>2036</v>
      </c>
    </row>
    <row r="575" spans="1:20" ht="17" hidden="1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>
        <f t="shared" si="24"/>
        <v>112</v>
      </c>
      <c r="G575" t="s">
        <v>20</v>
      </c>
      <c r="H575">
        <v>300</v>
      </c>
      <c r="I575" s="4">
        <f t="shared" si="25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9">
        <f>(((L575/60)/60)/24)+DATE(1970,1,1)</f>
        <v>41761.208333333336</v>
      </c>
      <c r="O575" s="9">
        <f t="shared" si="26"/>
        <v>41763.208333333336</v>
      </c>
      <c r="P575" t="b">
        <v>0</v>
      </c>
      <c r="Q575" t="b">
        <v>0</v>
      </c>
      <c r="R575" t="s">
        <v>1029</v>
      </c>
      <c r="S575" t="s">
        <v>2064</v>
      </c>
      <c r="T575" t="s">
        <v>2065</v>
      </c>
    </row>
    <row r="576" spans="1:20" ht="17" hidden="1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>
        <f t="shared" si="24"/>
        <v>369</v>
      </c>
      <c r="G576" t="s">
        <v>20</v>
      </c>
      <c r="H576">
        <v>144</v>
      </c>
      <c r="I576" s="4">
        <f t="shared" si="25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9">
        <f>(((L576/60)/60)/24)+DATE(1970,1,1)</f>
        <v>43806.25</v>
      </c>
      <c r="O576" s="9">
        <f t="shared" si="26"/>
        <v>43816.25</v>
      </c>
      <c r="P576" t="b">
        <v>0</v>
      </c>
      <c r="Q576" t="b">
        <v>1</v>
      </c>
      <c r="R576" t="s">
        <v>17</v>
      </c>
      <c r="S576" t="s">
        <v>2033</v>
      </c>
      <c r="T576" t="s">
        <v>2034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>
        <f t="shared" si="24"/>
        <v>63</v>
      </c>
      <c r="G577" t="s">
        <v>14</v>
      </c>
      <c r="H577">
        <v>558</v>
      </c>
      <c r="I577" s="4">
        <f t="shared" si="25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9">
        <f>(((L577/60)/60)/24)+DATE(1970,1,1)</f>
        <v>41779.208333333336</v>
      </c>
      <c r="O577" s="9">
        <f t="shared" si="26"/>
        <v>41782.208333333336</v>
      </c>
      <c r="P577" t="b">
        <v>0</v>
      </c>
      <c r="Q577" t="b">
        <v>1</v>
      </c>
      <c r="R577" t="s">
        <v>33</v>
      </c>
      <c r="S577" t="s">
        <v>2039</v>
      </c>
      <c r="T577" t="s">
        <v>2040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>
        <f t="shared" si="24"/>
        <v>65</v>
      </c>
      <c r="G578" t="s">
        <v>14</v>
      </c>
      <c r="H578">
        <v>64</v>
      </c>
      <c r="I578" s="4">
        <f t="shared" si="25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9">
        <f>(((L578/60)/60)/24)+DATE(1970,1,1)</f>
        <v>43040.208333333328</v>
      </c>
      <c r="O578" s="9">
        <f t="shared" si="26"/>
        <v>43057.25</v>
      </c>
      <c r="P578" t="b">
        <v>0</v>
      </c>
      <c r="Q578" t="b">
        <v>0</v>
      </c>
      <c r="R578" t="s">
        <v>33</v>
      </c>
      <c r="S578" t="s">
        <v>2039</v>
      </c>
      <c r="T578" t="s">
        <v>2040</v>
      </c>
    </row>
    <row r="579" spans="1:20" ht="17" hidden="1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>
        <f t="shared" ref="F579:F642" si="27">ROUND(E579/D579*100,0)</f>
        <v>19</v>
      </c>
      <c r="G579" t="s">
        <v>74</v>
      </c>
      <c r="H579">
        <v>37</v>
      </c>
      <c r="I579" s="4">
        <f t="shared" ref="I579:I642" si="28">AVERAGE(E579/H579)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9">
        <f>(((L579/60)/60)/24)+DATE(1970,1,1)</f>
        <v>40613.25</v>
      </c>
      <c r="O579" s="9">
        <f t="shared" ref="O579:O642" si="29">(((M579/60)/60)/24)+DATE(1970,1,1)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2035</v>
      </c>
      <c r="T579" t="s">
        <v>2058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>
        <f t="shared" si="27"/>
        <v>17</v>
      </c>
      <c r="G580" t="s">
        <v>14</v>
      </c>
      <c r="H580">
        <v>245</v>
      </c>
      <c r="I580" s="4">
        <f t="shared" si="28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9">
        <f>(((L580/60)/60)/24)+DATE(1970,1,1)</f>
        <v>40878.25</v>
      </c>
      <c r="O580" s="9">
        <f t="shared" si="29"/>
        <v>40881.25</v>
      </c>
      <c r="P580" t="b">
        <v>0</v>
      </c>
      <c r="Q580" t="b">
        <v>0</v>
      </c>
      <c r="R580" t="s">
        <v>474</v>
      </c>
      <c r="S580" t="s">
        <v>2041</v>
      </c>
      <c r="T580" t="s">
        <v>2063</v>
      </c>
    </row>
    <row r="581" spans="1:20" ht="17" hidden="1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>
        <f t="shared" si="27"/>
        <v>101</v>
      </c>
      <c r="G581" t="s">
        <v>20</v>
      </c>
      <c r="H581">
        <v>87</v>
      </c>
      <c r="I581" s="4">
        <f t="shared" si="28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9">
        <f>(((L581/60)/60)/24)+DATE(1970,1,1)</f>
        <v>40762.208333333336</v>
      </c>
      <c r="O581" s="9">
        <f t="shared" si="29"/>
        <v>40774.208333333336</v>
      </c>
      <c r="P581" t="b">
        <v>0</v>
      </c>
      <c r="Q581" t="b">
        <v>0</v>
      </c>
      <c r="R581" t="s">
        <v>159</v>
      </c>
      <c r="S581" t="s">
        <v>2035</v>
      </c>
      <c r="T581" t="s">
        <v>2058</v>
      </c>
    </row>
    <row r="582" spans="1:20" ht="17" hidden="1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>
        <f t="shared" si="27"/>
        <v>342</v>
      </c>
      <c r="G582" t="s">
        <v>20</v>
      </c>
      <c r="H582">
        <v>3116</v>
      </c>
      <c r="I582" s="4">
        <f t="shared" si="28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9">
        <f>(((L582/60)/60)/24)+DATE(1970,1,1)</f>
        <v>41696.25</v>
      </c>
      <c r="O582" s="9">
        <f t="shared" si="29"/>
        <v>41704.25</v>
      </c>
      <c r="P582" t="b">
        <v>0</v>
      </c>
      <c r="Q582" t="b">
        <v>0</v>
      </c>
      <c r="R582" t="s">
        <v>33</v>
      </c>
      <c r="S582" t="s">
        <v>2039</v>
      </c>
      <c r="T582" t="s">
        <v>2040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>
        <f t="shared" si="27"/>
        <v>64</v>
      </c>
      <c r="G583" t="s">
        <v>14</v>
      </c>
      <c r="H583">
        <v>71</v>
      </c>
      <c r="I583" s="4">
        <f t="shared" si="28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9">
        <f>(((L583/60)/60)/24)+DATE(1970,1,1)</f>
        <v>40662.208333333336</v>
      </c>
      <c r="O583" s="9">
        <f t="shared" si="29"/>
        <v>40677.208333333336</v>
      </c>
      <c r="P583" t="b">
        <v>0</v>
      </c>
      <c r="Q583" t="b">
        <v>0</v>
      </c>
      <c r="R583" t="s">
        <v>28</v>
      </c>
      <c r="S583" t="s">
        <v>2037</v>
      </c>
      <c r="T583" t="s">
        <v>2038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>
        <f t="shared" si="27"/>
        <v>52</v>
      </c>
      <c r="G584" t="s">
        <v>14</v>
      </c>
      <c r="H584">
        <v>42</v>
      </c>
      <c r="I584" s="4">
        <f t="shared" si="28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9">
        <f>(((L584/60)/60)/24)+DATE(1970,1,1)</f>
        <v>42165.208333333328</v>
      </c>
      <c r="O584" s="9">
        <f t="shared" si="29"/>
        <v>42170.208333333328</v>
      </c>
      <c r="P584" t="b">
        <v>0</v>
      </c>
      <c r="Q584" t="b">
        <v>1</v>
      </c>
      <c r="R584" t="s">
        <v>89</v>
      </c>
      <c r="S584" t="s">
        <v>2050</v>
      </c>
      <c r="T584" t="s">
        <v>2051</v>
      </c>
    </row>
    <row r="585" spans="1:20" ht="34" hidden="1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>
        <f t="shared" si="27"/>
        <v>322</v>
      </c>
      <c r="G585" t="s">
        <v>20</v>
      </c>
      <c r="H585">
        <v>909</v>
      </c>
      <c r="I585" s="4">
        <f t="shared" si="28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9">
        <f>(((L585/60)/60)/24)+DATE(1970,1,1)</f>
        <v>40959.25</v>
      </c>
      <c r="O585" s="9">
        <f t="shared" si="29"/>
        <v>40976.25</v>
      </c>
      <c r="P585" t="b">
        <v>0</v>
      </c>
      <c r="Q585" t="b">
        <v>0</v>
      </c>
      <c r="R585" t="s">
        <v>42</v>
      </c>
      <c r="S585" t="s">
        <v>2041</v>
      </c>
      <c r="T585" t="s">
        <v>2042</v>
      </c>
    </row>
    <row r="586" spans="1:20" ht="34" hidden="1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>
        <f t="shared" si="27"/>
        <v>120</v>
      </c>
      <c r="G586" t="s">
        <v>20</v>
      </c>
      <c r="H586">
        <v>1613</v>
      </c>
      <c r="I586" s="4">
        <f t="shared" si="28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9">
        <f>(((L586/60)/60)/24)+DATE(1970,1,1)</f>
        <v>41024.208333333336</v>
      </c>
      <c r="O586" s="9">
        <f t="shared" si="29"/>
        <v>41038.208333333336</v>
      </c>
      <c r="P586" t="b">
        <v>0</v>
      </c>
      <c r="Q586" t="b">
        <v>0</v>
      </c>
      <c r="R586" t="s">
        <v>28</v>
      </c>
      <c r="S586" t="s">
        <v>2037</v>
      </c>
      <c r="T586" t="s">
        <v>2038</v>
      </c>
    </row>
    <row r="587" spans="1:20" ht="17" hidden="1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>
        <f t="shared" si="27"/>
        <v>147</v>
      </c>
      <c r="G587" t="s">
        <v>20</v>
      </c>
      <c r="H587">
        <v>136</v>
      </c>
      <c r="I587" s="4">
        <f t="shared" si="28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9">
        <f>(((L587/60)/60)/24)+DATE(1970,1,1)</f>
        <v>40255.208333333336</v>
      </c>
      <c r="O587" s="9">
        <f t="shared" si="29"/>
        <v>40265.208333333336</v>
      </c>
      <c r="P587" t="b">
        <v>0</v>
      </c>
      <c r="Q587" t="b">
        <v>0</v>
      </c>
      <c r="R587" t="s">
        <v>206</v>
      </c>
      <c r="S587" t="s">
        <v>2047</v>
      </c>
      <c r="T587" t="s">
        <v>2059</v>
      </c>
    </row>
    <row r="588" spans="1:20" ht="17" hidden="1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>
        <f t="shared" si="27"/>
        <v>951</v>
      </c>
      <c r="G588" t="s">
        <v>20</v>
      </c>
      <c r="H588">
        <v>130</v>
      </c>
      <c r="I588" s="4">
        <f t="shared" si="28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9">
        <f>(((L588/60)/60)/24)+DATE(1970,1,1)</f>
        <v>40499.25</v>
      </c>
      <c r="O588" s="9">
        <f t="shared" si="29"/>
        <v>40518.25</v>
      </c>
      <c r="P588" t="b">
        <v>0</v>
      </c>
      <c r="Q588" t="b">
        <v>0</v>
      </c>
      <c r="R588" t="s">
        <v>23</v>
      </c>
      <c r="S588" t="s">
        <v>2035</v>
      </c>
      <c r="T588" t="s">
        <v>2036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>
        <f t="shared" si="27"/>
        <v>73</v>
      </c>
      <c r="G589" t="s">
        <v>14</v>
      </c>
      <c r="H589">
        <v>156</v>
      </c>
      <c r="I589" s="4">
        <f t="shared" si="28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9">
        <f>(((L589/60)/60)/24)+DATE(1970,1,1)</f>
        <v>43484.25</v>
      </c>
      <c r="O589" s="9">
        <f t="shared" si="29"/>
        <v>43536.208333333328</v>
      </c>
      <c r="P589" t="b">
        <v>0</v>
      </c>
      <c r="Q589" t="b">
        <v>1</v>
      </c>
      <c r="R589" t="s">
        <v>17</v>
      </c>
      <c r="S589" t="s">
        <v>2033</v>
      </c>
      <c r="T589" t="s">
        <v>2034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>
        <f t="shared" si="27"/>
        <v>79</v>
      </c>
      <c r="G590" t="s">
        <v>14</v>
      </c>
      <c r="H590">
        <v>1368</v>
      </c>
      <c r="I590" s="4">
        <f t="shared" si="28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9">
        <f>(((L590/60)/60)/24)+DATE(1970,1,1)</f>
        <v>40262.208333333336</v>
      </c>
      <c r="O590" s="9">
        <f t="shared" si="29"/>
        <v>40293.208333333336</v>
      </c>
      <c r="P590" t="b">
        <v>0</v>
      </c>
      <c r="Q590" t="b">
        <v>0</v>
      </c>
      <c r="R590" t="s">
        <v>33</v>
      </c>
      <c r="S590" t="s">
        <v>2039</v>
      </c>
      <c r="T590" t="s">
        <v>2040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>
        <f t="shared" si="27"/>
        <v>65</v>
      </c>
      <c r="G591" t="s">
        <v>14</v>
      </c>
      <c r="H591">
        <v>102</v>
      </c>
      <c r="I591" s="4">
        <f t="shared" si="28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9">
        <f>(((L591/60)/60)/24)+DATE(1970,1,1)</f>
        <v>42190.208333333328</v>
      </c>
      <c r="O591" s="9">
        <f t="shared" si="29"/>
        <v>42197.208333333328</v>
      </c>
      <c r="P591" t="b">
        <v>0</v>
      </c>
      <c r="Q591" t="b">
        <v>0</v>
      </c>
      <c r="R591" t="s">
        <v>42</v>
      </c>
      <c r="S591" t="s">
        <v>2041</v>
      </c>
      <c r="T591" t="s">
        <v>2042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>
        <f t="shared" si="27"/>
        <v>82</v>
      </c>
      <c r="G592" t="s">
        <v>14</v>
      </c>
      <c r="H592">
        <v>86</v>
      </c>
      <c r="I592" s="4">
        <f t="shared" si="28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9">
        <f>(((L592/60)/60)/24)+DATE(1970,1,1)</f>
        <v>41994.25</v>
      </c>
      <c r="O592" s="9">
        <f t="shared" si="29"/>
        <v>42005.25</v>
      </c>
      <c r="P592" t="b">
        <v>0</v>
      </c>
      <c r="Q592" t="b">
        <v>0</v>
      </c>
      <c r="R592" t="s">
        <v>133</v>
      </c>
      <c r="S592" t="s">
        <v>2047</v>
      </c>
      <c r="T592" t="s">
        <v>2056</v>
      </c>
    </row>
    <row r="593" spans="1:20" ht="17" hidden="1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>
        <f t="shared" si="27"/>
        <v>1038</v>
      </c>
      <c r="G593" t="s">
        <v>20</v>
      </c>
      <c r="H593">
        <v>102</v>
      </c>
      <c r="I593" s="4">
        <f t="shared" si="28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9">
        <f>(((L593/60)/60)/24)+DATE(1970,1,1)</f>
        <v>40373.208333333336</v>
      </c>
      <c r="O593" s="9">
        <f t="shared" si="29"/>
        <v>40383.208333333336</v>
      </c>
      <c r="P593" t="b">
        <v>0</v>
      </c>
      <c r="Q593" t="b">
        <v>0</v>
      </c>
      <c r="R593" t="s">
        <v>89</v>
      </c>
      <c r="S593" t="s">
        <v>2050</v>
      </c>
      <c r="T593" t="s">
        <v>2051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>
        <f t="shared" si="27"/>
        <v>13</v>
      </c>
      <c r="G594" t="s">
        <v>14</v>
      </c>
      <c r="H594">
        <v>253</v>
      </c>
      <c r="I594" s="4">
        <f t="shared" si="28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9">
        <f>(((L594/60)/60)/24)+DATE(1970,1,1)</f>
        <v>41789.208333333336</v>
      </c>
      <c r="O594" s="9">
        <f t="shared" si="29"/>
        <v>41798.208333333336</v>
      </c>
      <c r="P594" t="b">
        <v>0</v>
      </c>
      <c r="Q594" t="b">
        <v>0</v>
      </c>
      <c r="R594" t="s">
        <v>33</v>
      </c>
      <c r="S594" t="s">
        <v>2039</v>
      </c>
      <c r="T594" t="s">
        <v>2040</v>
      </c>
    </row>
    <row r="595" spans="1:20" ht="17" hidden="1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>
        <f t="shared" si="27"/>
        <v>155</v>
      </c>
      <c r="G595" t="s">
        <v>20</v>
      </c>
      <c r="H595">
        <v>4006</v>
      </c>
      <c r="I595" s="4">
        <f t="shared" si="28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9">
        <f>(((L595/60)/60)/24)+DATE(1970,1,1)</f>
        <v>41724.208333333336</v>
      </c>
      <c r="O595" s="9">
        <f t="shared" si="29"/>
        <v>41737.208333333336</v>
      </c>
      <c r="P595" t="b">
        <v>0</v>
      </c>
      <c r="Q595" t="b">
        <v>0</v>
      </c>
      <c r="R595" t="s">
        <v>71</v>
      </c>
      <c r="S595" t="s">
        <v>2041</v>
      </c>
      <c r="T595" t="s">
        <v>2049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>
        <f t="shared" si="27"/>
        <v>7</v>
      </c>
      <c r="G596" t="s">
        <v>14</v>
      </c>
      <c r="H596">
        <v>157</v>
      </c>
      <c r="I596" s="4">
        <f t="shared" si="28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9">
        <f>(((L596/60)/60)/24)+DATE(1970,1,1)</f>
        <v>42548.208333333328</v>
      </c>
      <c r="O596" s="9">
        <f t="shared" si="29"/>
        <v>42551.208333333328</v>
      </c>
      <c r="P596" t="b">
        <v>0</v>
      </c>
      <c r="Q596" t="b">
        <v>1</v>
      </c>
      <c r="R596" t="s">
        <v>33</v>
      </c>
      <c r="S596" t="s">
        <v>2039</v>
      </c>
      <c r="T596" t="s">
        <v>2040</v>
      </c>
    </row>
    <row r="597" spans="1:20" ht="34" hidden="1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>
        <f t="shared" si="27"/>
        <v>209</v>
      </c>
      <c r="G597" t="s">
        <v>20</v>
      </c>
      <c r="H597">
        <v>1629</v>
      </c>
      <c r="I597" s="4">
        <f t="shared" si="28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9">
        <f>(((L597/60)/60)/24)+DATE(1970,1,1)</f>
        <v>40253.208333333336</v>
      </c>
      <c r="O597" s="9">
        <f t="shared" si="29"/>
        <v>40274.208333333336</v>
      </c>
      <c r="P597" t="b">
        <v>0</v>
      </c>
      <c r="Q597" t="b">
        <v>1</v>
      </c>
      <c r="R597" t="s">
        <v>33</v>
      </c>
      <c r="S597" t="s">
        <v>2039</v>
      </c>
      <c r="T597" t="s">
        <v>2040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>
        <f t="shared" si="27"/>
        <v>100</v>
      </c>
      <c r="G598" t="s">
        <v>14</v>
      </c>
      <c r="H598">
        <v>183</v>
      </c>
      <c r="I598" s="4">
        <f t="shared" si="28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9">
        <f>(((L598/60)/60)/24)+DATE(1970,1,1)</f>
        <v>42434.25</v>
      </c>
      <c r="O598" s="9">
        <f t="shared" si="29"/>
        <v>42441.25</v>
      </c>
      <c r="P598" t="b">
        <v>0</v>
      </c>
      <c r="Q598" t="b">
        <v>1</v>
      </c>
      <c r="R598" t="s">
        <v>53</v>
      </c>
      <c r="S598" t="s">
        <v>2041</v>
      </c>
      <c r="T598" t="s">
        <v>2044</v>
      </c>
    </row>
    <row r="599" spans="1:20" ht="17" hidden="1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>
        <f t="shared" si="27"/>
        <v>202</v>
      </c>
      <c r="G599" t="s">
        <v>20</v>
      </c>
      <c r="H599">
        <v>2188</v>
      </c>
      <c r="I599" s="4">
        <f t="shared" si="28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9">
        <f>(((L599/60)/60)/24)+DATE(1970,1,1)</f>
        <v>43786.25</v>
      </c>
      <c r="O599" s="9">
        <f t="shared" si="29"/>
        <v>43804.25</v>
      </c>
      <c r="P599" t="b">
        <v>0</v>
      </c>
      <c r="Q599" t="b">
        <v>0</v>
      </c>
      <c r="R599" t="s">
        <v>33</v>
      </c>
      <c r="S599" t="s">
        <v>2039</v>
      </c>
      <c r="T599" t="s">
        <v>2040</v>
      </c>
    </row>
    <row r="600" spans="1:20" ht="17" hidden="1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>
        <f t="shared" si="27"/>
        <v>162</v>
      </c>
      <c r="G600" t="s">
        <v>20</v>
      </c>
      <c r="H600">
        <v>2409</v>
      </c>
      <c r="I600" s="4">
        <f t="shared" si="28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9">
        <f>(((L600/60)/60)/24)+DATE(1970,1,1)</f>
        <v>40344.208333333336</v>
      </c>
      <c r="O600" s="9">
        <f t="shared" si="29"/>
        <v>40373.208333333336</v>
      </c>
      <c r="P600" t="b">
        <v>0</v>
      </c>
      <c r="Q600" t="b">
        <v>0</v>
      </c>
      <c r="R600" t="s">
        <v>23</v>
      </c>
      <c r="S600" t="s">
        <v>2035</v>
      </c>
      <c r="T600" t="s">
        <v>2036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>
        <f t="shared" si="27"/>
        <v>4</v>
      </c>
      <c r="G601" t="s">
        <v>14</v>
      </c>
      <c r="H601">
        <v>82</v>
      </c>
      <c r="I601" s="4">
        <f t="shared" si="28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9">
        <f>(((L601/60)/60)/24)+DATE(1970,1,1)</f>
        <v>42047.25</v>
      </c>
      <c r="O601" s="9">
        <f t="shared" si="29"/>
        <v>42055.25</v>
      </c>
      <c r="P601" t="b">
        <v>0</v>
      </c>
      <c r="Q601" t="b">
        <v>0</v>
      </c>
      <c r="R601" t="s">
        <v>42</v>
      </c>
      <c r="S601" t="s">
        <v>2041</v>
      </c>
      <c r="T601" t="s">
        <v>2042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>
        <f t="shared" si="27"/>
        <v>5</v>
      </c>
      <c r="G602" t="s">
        <v>14</v>
      </c>
      <c r="H602">
        <v>1</v>
      </c>
      <c r="I602" s="4">
        <f t="shared" si="28"/>
        <v>5</v>
      </c>
      <c r="J602" t="s">
        <v>40</v>
      </c>
      <c r="K602" t="s">
        <v>41</v>
      </c>
      <c r="L602">
        <v>1375160400</v>
      </c>
      <c r="M602">
        <v>1376197200</v>
      </c>
      <c r="N602" s="9">
        <f>(((L602/60)/60)/24)+DATE(1970,1,1)</f>
        <v>41485.208333333336</v>
      </c>
      <c r="O602" s="9">
        <f t="shared" si="29"/>
        <v>41497.208333333336</v>
      </c>
      <c r="P602" t="b">
        <v>0</v>
      </c>
      <c r="Q602" t="b">
        <v>0</v>
      </c>
      <c r="R602" t="s">
        <v>17</v>
      </c>
      <c r="S602" t="s">
        <v>2033</v>
      </c>
      <c r="T602" t="s">
        <v>2034</v>
      </c>
    </row>
    <row r="603" spans="1:20" ht="17" hidden="1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>
        <f t="shared" si="27"/>
        <v>207</v>
      </c>
      <c r="G603" t="s">
        <v>20</v>
      </c>
      <c r="H603">
        <v>194</v>
      </c>
      <c r="I603" s="4">
        <f t="shared" si="28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9">
        <f>(((L603/60)/60)/24)+DATE(1970,1,1)</f>
        <v>41789.208333333336</v>
      </c>
      <c r="O603" s="9">
        <f t="shared" si="29"/>
        <v>41806.208333333336</v>
      </c>
      <c r="P603" t="b">
        <v>1</v>
      </c>
      <c r="Q603" t="b">
        <v>0</v>
      </c>
      <c r="R603" t="s">
        <v>65</v>
      </c>
      <c r="S603" t="s">
        <v>2037</v>
      </c>
      <c r="T603" t="s">
        <v>2046</v>
      </c>
    </row>
    <row r="604" spans="1:20" ht="34" hidden="1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>
        <f t="shared" si="27"/>
        <v>128</v>
      </c>
      <c r="G604" t="s">
        <v>20</v>
      </c>
      <c r="H604">
        <v>1140</v>
      </c>
      <c r="I604" s="4">
        <f t="shared" si="28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9">
        <f>(((L604/60)/60)/24)+DATE(1970,1,1)</f>
        <v>42160.208333333328</v>
      </c>
      <c r="O604" s="9">
        <f t="shared" si="29"/>
        <v>42171.208333333328</v>
      </c>
      <c r="P604" t="b">
        <v>0</v>
      </c>
      <c r="Q604" t="b">
        <v>0</v>
      </c>
      <c r="R604" t="s">
        <v>33</v>
      </c>
      <c r="S604" t="s">
        <v>2039</v>
      </c>
      <c r="T604" t="s">
        <v>2040</v>
      </c>
    </row>
    <row r="605" spans="1:20" ht="17" hidden="1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>
        <f t="shared" si="27"/>
        <v>120</v>
      </c>
      <c r="G605" t="s">
        <v>20</v>
      </c>
      <c r="H605">
        <v>102</v>
      </c>
      <c r="I605" s="4">
        <f t="shared" si="28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9">
        <f>(((L605/60)/60)/24)+DATE(1970,1,1)</f>
        <v>43573.208333333328</v>
      </c>
      <c r="O605" s="9">
        <f t="shared" si="29"/>
        <v>43600.208333333328</v>
      </c>
      <c r="P605" t="b">
        <v>0</v>
      </c>
      <c r="Q605" t="b">
        <v>0</v>
      </c>
      <c r="R605" t="s">
        <v>33</v>
      </c>
      <c r="S605" t="s">
        <v>2039</v>
      </c>
      <c r="T605" t="s">
        <v>2040</v>
      </c>
    </row>
    <row r="606" spans="1:20" ht="17" hidden="1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>
        <f t="shared" si="27"/>
        <v>171</v>
      </c>
      <c r="G606" t="s">
        <v>20</v>
      </c>
      <c r="H606">
        <v>2857</v>
      </c>
      <c r="I606" s="4">
        <f t="shared" si="28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9">
        <f>(((L606/60)/60)/24)+DATE(1970,1,1)</f>
        <v>40565.25</v>
      </c>
      <c r="O606" s="9">
        <f t="shared" si="29"/>
        <v>40586.25</v>
      </c>
      <c r="P606" t="b">
        <v>0</v>
      </c>
      <c r="Q606" t="b">
        <v>0</v>
      </c>
      <c r="R606" t="s">
        <v>33</v>
      </c>
      <c r="S606" t="s">
        <v>2039</v>
      </c>
      <c r="T606" t="s">
        <v>2040</v>
      </c>
    </row>
    <row r="607" spans="1:20" ht="17" hidden="1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>
        <f t="shared" si="27"/>
        <v>187</v>
      </c>
      <c r="G607" t="s">
        <v>20</v>
      </c>
      <c r="H607">
        <v>107</v>
      </c>
      <c r="I607" s="4">
        <f t="shared" si="28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9">
        <f>(((L607/60)/60)/24)+DATE(1970,1,1)</f>
        <v>42280.208333333328</v>
      </c>
      <c r="O607" s="9">
        <f t="shared" si="29"/>
        <v>42321.25</v>
      </c>
      <c r="P607" t="b">
        <v>0</v>
      </c>
      <c r="Q607" t="b">
        <v>0</v>
      </c>
      <c r="R607" t="s">
        <v>68</v>
      </c>
      <c r="S607" t="s">
        <v>2047</v>
      </c>
      <c r="T607" t="s">
        <v>2048</v>
      </c>
    </row>
    <row r="608" spans="1:20" ht="17" hidden="1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>
        <f t="shared" si="27"/>
        <v>188</v>
      </c>
      <c r="G608" t="s">
        <v>20</v>
      </c>
      <c r="H608">
        <v>160</v>
      </c>
      <c r="I608" s="4">
        <f t="shared" si="28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9">
        <f>(((L608/60)/60)/24)+DATE(1970,1,1)</f>
        <v>42436.25</v>
      </c>
      <c r="O608" s="9">
        <f t="shared" si="29"/>
        <v>42447.208333333328</v>
      </c>
      <c r="P608" t="b">
        <v>0</v>
      </c>
      <c r="Q608" t="b">
        <v>0</v>
      </c>
      <c r="R608" t="s">
        <v>23</v>
      </c>
      <c r="S608" t="s">
        <v>2035</v>
      </c>
      <c r="T608" t="s">
        <v>2036</v>
      </c>
    </row>
    <row r="609" spans="1:20" ht="17" hidden="1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>
        <f t="shared" si="27"/>
        <v>131</v>
      </c>
      <c r="G609" t="s">
        <v>20</v>
      </c>
      <c r="H609">
        <v>2230</v>
      </c>
      <c r="I609" s="4">
        <f t="shared" si="28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9">
        <f>(((L609/60)/60)/24)+DATE(1970,1,1)</f>
        <v>41721.208333333336</v>
      </c>
      <c r="O609" s="9">
        <f t="shared" si="29"/>
        <v>41723.208333333336</v>
      </c>
      <c r="P609" t="b">
        <v>0</v>
      </c>
      <c r="Q609" t="b">
        <v>0</v>
      </c>
      <c r="R609" t="s">
        <v>17</v>
      </c>
      <c r="S609" t="s">
        <v>2033</v>
      </c>
      <c r="T609" t="s">
        <v>2034</v>
      </c>
    </row>
    <row r="610" spans="1:20" ht="17" hidden="1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>
        <f t="shared" si="27"/>
        <v>284</v>
      </c>
      <c r="G610" t="s">
        <v>20</v>
      </c>
      <c r="H610">
        <v>316</v>
      </c>
      <c r="I610" s="4">
        <f t="shared" si="28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9">
        <f>(((L610/60)/60)/24)+DATE(1970,1,1)</f>
        <v>43530.25</v>
      </c>
      <c r="O610" s="9">
        <f t="shared" si="29"/>
        <v>43534.25</v>
      </c>
      <c r="P610" t="b">
        <v>0</v>
      </c>
      <c r="Q610" t="b">
        <v>1</v>
      </c>
      <c r="R610" t="s">
        <v>159</v>
      </c>
      <c r="S610" t="s">
        <v>2035</v>
      </c>
      <c r="T610" t="s">
        <v>2058</v>
      </c>
    </row>
    <row r="611" spans="1:20" ht="17" hidden="1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>
        <f t="shared" si="27"/>
        <v>120</v>
      </c>
      <c r="G611" t="s">
        <v>20</v>
      </c>
      <c r="H611">
        <v>117</v>
      </c>
      <c r="I611" s="4">
        <f t="shared" si="28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9">
        <f>(((L611/60)/60)/24)+DATE(1970,1,1)</f>
        <v>43481.25</v>
      </c>
      <c r="O611" s="9">
        <f t="shared" si="29"/>
        <v>43498.25</v>
      </c>
      <c r="P611" t="b">
        <v>0</v>
      </c>
      <c r="Q611" t="b">
        <v>0</v>
      </c>
      <c r="R611" t="s">
        <v>474</v>
      </c>
      <c r="S611" t="s">
        <v>2041</v>
      </c>
      <c r="T611" t="s">
        <v>2063</v>
      </c>
    </row>
    <row r="612" spans="1:20" ht="34" hidden="1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>
        <f t="shared" si="27"/>
        <v>419</v>
      </c>
      <c r="G612" t="s">
        <v>20</v>
      </c>
      <c r="H612">
        <v>6406</v>
      </c>
      <c r="I612" s="4">
        <f t="shared" si="28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9">
        <f>(((L612/60)/60)/24)+DATE(1970,1,1)</f>
        <v>41259.25</v>
      </c>
      <c r="O612" s="9">
        <f t="shared" si="29"/>
        <v>41273.25</v>
      </c>
      <c r="P612" t="b">
        <v>0</v>
      </c>
      <c r="Q612" t="b">
        <v>0</v>
      </c>
      <c r="R612" t="s">
        <v>33</v>
      </c>
      <c r="S612" t="s">
        <v>2039</v>
      </c>
      <c r="T612" t="s">
        <v>2040</v>
      </c>
    </row>
    <row r="613" spans="1:20" ht="17" hidden="1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>
        <f t="shared" si="27"/>
        <v>14</v>
      </c>
      <c r="G613" t="s">
        <v>74</v>
      </c>
      <c r="H613">
        <v>15</v>
      </c>
      <c r="I613" s="4">
        <f t="shared" si="28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9">
        <f>(((L613/60)/60)/24)+DATE(1970,1,1)</f>
        <v>41480.208333333336</v>
      </c>
      <c r="O613" s="9">
        <f t="shared" si="29"/>
        <v>41492.208333333336</v>
      </c>
      <c r="P613" t="b">
        <v>0</v>
      </c>
      <c r="Q613" t="b">
        <v>0</v>
      </c>
      <c r="R613" t="s">
        <v>33</v>
      </c>
      <c r="S613" t="s">
        <v>2039</v>
      </c>
      <c r="T613" t="s">
        <v>2040</v>
      </c>
    </row>
    <row r="614" spans="1:20" ht="17" hidden="1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>
        <f t="shared" si="27"/>
        <v>139</v>
      </c>
      <c r="G614" t="s">
        <v>20</v>
      </c>
      <c r="H614">
        <v>192</v>
      </c>
      <c r="I614" s="4">
        <f t="shared" si="28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9">
        <f>(((L614/60)/60)/24)+DATE(1970,1,1)</f>
        <v>40474.208333333336</v>
      </c>
      <c r="O614" s="9">
        <f t="shared" si="29"/>
        <v>40497.25</v>
      </c>
      <c r="P614" t="b">
        <v>0</v>
      </c>
      <c r="Q614" t="b">
        <v>0</v>
      </c>
      <c r="R614" t="s">
        <v>50</v>
      </c>
      <c r="S614" t="s">
        <v>2035</v>
      </c>
      <c r="T614" t="s">
        <v>2043</v>
      </c>
    </row>
    <row r="615" spans="1:20" ht="34" hidden="1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>
        <f t="shared" si="27"/>
        <v>174</v>
      </c>
      <c r="G615" t="s">
        <v>20</v>
      </c>
      <c r="H615">
        <v>26</v>
      </c>
      <c r="I615" s="4">
        <f t="shared" si="28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9">
        <f>(((L615/60)/60)/24)+DATE(1970,1,1)</f>
        <v>42973.208333333328</v>
      </c>
      <c r="O615" s="9">
        <f t="shared" si="29"/>
        <v>42982.208333333328</v>
      </c>
      <c r="P615" t="b">
        <v>0</v>
      </c>
      <c r="Q615" t="b">
        <v>0</v>
      </c>
      <c r="R615" t="s">
        <v>33</v>
      </c>
      <c r="S615" t="s">
        <v>2039</v>
      </c>
      <c r="T615" t="s">
        <v>2040</v>
      </c>
    </row>
    <row r="616" spans="1:20" ht="34" hidden="1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>
        <f t="shared" si="27"/>
        <v>155</v>
      </c>
      <c r="G616" t="s">
        <v>20</v>
      </c>
      <c r="H616">
        <v>723</v>
      </c>
      <c r="I616" s="4">
        <f t="shared" si="28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9">
        <f>(((L616/60)/60)/24)+DATE(1970,1,1)</f>
        <v>42746.25</v>
      </c>
      <c r="O616" s="9">
        <f t="shared" si="29"/>
        <v>42764.25</v>
      </c>
      <c r="P616" t="b">
        <v>0</v>
      </c>
      <c r="Q616" t="b">
        <v>0</v>
      </c>
      <c r="R616" t="s">
        <v>33</v>
      </c>
      <c r="S616" t="s">
        <v>2039</v>
      </c>
      <c r="T616" t="s">
        <v>2040</v>
      </c>
    </row>
    <row r="617" spans="1:20" ht="17" hidden="1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>
        <f t="shared" si="27"/>
        <v>170</v>
      </c>
      <c r="G617" t="s">
        <v>20</v>
      </c>
      <c r="H617">
        <v>170</v>
      </c>
      <c r="I617" s="4">
        <f t="shared" si="28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9">
        <f>(((L617/60)/60)/24)+DATE(1970,1,1)</f>
        <v>42489.208333333328</v>
      </c>
      <c r="O617" s="9">
        <f t="shared" si="29"/>
        <v>42499.208333333328</v>
      </c>
      <c r="P617" t="b">
        <v>0</v>
      </c>
      <c r="Q617" t="b">
        <v>0</v>
      </c>
      <c r="R617" t="s">
        <v>33</v>
      </c>
      <c r="S617" t="s">
        <v>2039</v>
      </c>
      <c r="T617" t="s">
        <v>2040</v>
      </c>
    </row>
    <row r="618" spans="1:20" ht="17" hidden="1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>
        <f t="shared" si="27"/>
        <v>190</v>
      </c>
      <c r="G618" t="s">
        <v>20</v>
      </c>
      <c r="H618">
        <v>238</v>
      </c>
      <c r="I618" s="4">
        <f t="shared" si="28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9">
        <f>(((L618/60)/60)/24)+DATE(1970,1,1)</f>
        <v>41537.208333333336</v>
      </c>
      <c r="O618" s="9">
        <f t="shared" si="29"/>
        <v>41538.208333333336</v>
      </c>
      <c r="P618" t="b">
        <v>0</v>
      </c>
      <c r="Q618" t="b">
        <v>1</v>
      </c>
      <c r="R618" t="s">
        <v>60</v>
      </c>
      <c r="S618" t="s">
        <v>2035</v>
      </c>
      <c r="T618" t="s">
        <v>2045</v>
      </c>
    </row>
    <row r="619" spans="1:20" ht="17" hidden="1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>
        <f t="shared" si="27"/>
        <v>250</v>
      </c>
      <c r="G619" t="s">
        <v>20</v>
      </c>
      <c r="H619">
        <v>55</v>
      </c>
      <c r="I619" s="4">
        <f t="shared" si="28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9">
        <f>(((L619/60)/60)/24)+DATE(1970,1,1)</f>
        <v>41794.208333333336</v>
      </c>
      <c r="O619" s="9">
        <f t="shared" si="29"/>
        <v>41804.208333333336</v>
      </c>
      <c r="P619" t="b">
        <v>0</v>
      </c>
      <c r="Q619" t="b">
        <v>0</v>
      </c>
      <c r="R619" t="s">
        <v>33</v>
      </c>
      <c r="S619" t="s">
        <v>2039</v>
      </c>
      <c r="T619" t="s">
        <v>2040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>
        <f t="shared" si="27"/>
        <v>49</v>
      </c>
      <c r="G620" t="s">
        <v>14</v>
      </c>
      <c r="H620">
        <v>1198</v>
      </c>
      <c r="I620" s="4">
        <f t="shared" si="28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9">
        <f>(((L620/60)/60)/24)+DATE(1970,1,1)</f>
        <v>41396.208333333336</v>
      </c>
      <c r="O620" s="9">
        <f t="shared" si="29"/>
        <v>41417.208333333336</v>
      </c>
      <c r="P620" t="b">
        <v>0</v>
      </c>
      <c r="Q620" t="b">
        <v>0</v>
      </c>
      <c r="R620" t="s">
        <v>68</v>
      </c>
      <c r="S620" t="s">
        <v>2047</v>
      </c>
      <c r="T620" t="s">
        <v>2048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>
        <f t="shared" si="27"/>
        <v>28</v>
      </c>
      <c r="G621" t="s">
        <v>14</v>
      </c>
      <c r="H621">
        <v>648</v>
      </c>
      <c r="I621" s="4">
        <f t="shared" si="28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9">
        <f>(((L621/60)/60)/24)+DATE(1970,1,1)</f>
        <v>40669.208333333336</v>
      </c>
      <c r="O621" s="9">
        <f t="shared" si="29"/>
        <v>40670.208333333336</v>
      </c>
      <c r="P621" t="b">
        <v>1</v>
      </c>
      <c r="Q621" t="b">
        <v>1</v>
      </c>
      <c r="R621" t="s">
        <v>33</v>
      </c>
      <c r="S621" t="s">
        <v>2039</v>
      </c>
      <c r="T621" t="s">
        <v>2040</v>
      </c>
    </row>
    <row r="622" spans="1:20" ht="17" hidden="1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>
        <f t="shared" si="27"/>
        <v>268</v>
      </c>
      <c r="G622" t="s">
        <v>20</v>
      </c>
      <c r="H622">
        <v>128</v>
      </c>
      <c r="I622" s="4">
        <f t="shared" si="28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9">
        <f>(((L622/60)/60)/24)+DATE(1970,1,1)</f>
        <v>42559.208333333328</v>
      </c>
      <c r="O622" s="9">
        <f t="shared" si="29"/>
        <v>42563.208333333328</v>
      </c>
      <c r="P622" t="b">
        <v>0</v>
      </c>
      <c r="Q622" t="b">
        <v>0</v>
      </c>
      <c r="R622" t="s">
        <v>122</v>
      </c>
      <c r="S622" t="s">
        <v>2054</v>
      </c>
      <c r="T622" t="s">
        <v>2055</v>
      </c>
    </row>
    <row r="623" spans="1:20" ht="17" hidden="1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>
        <f t="shared" si="27"/>
        <v>620</v>
      </c>
      <c r="G623" t="s">
        <v>20</v>
      </c>
      <c r="H623">
        <v>2144</v>
      </c>
      <c r="I623" s="4">
        <f t="shared" si="28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9">
        <f>(((L623/60)/60)/24)+DATE(1970,1,1)</f>
        <v>42626.208333333328</v>
      </c>
      <c r="O623" s="9">
        <f t="shared" si="29"/>
        <v>42631.208333333328</v>
      </c>
      <c r="P623" t="b">
        <v>0</v>
      </c>
      <c r="Q623" t="b">
        <v>0</v>
      </c>
      <c r="R623" t="s">
        <v>33</v>
      </c>
      <c r="S623" t="s">
        <v>2039</v>
      </c>
      <c r="T623" t="s">
        <v>2040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>
        <f t="shared" si="27"/>
        <v>3</v>
      </c>
      <c r="G624" t="s">
        <v>14</v>
      </c>
      <c r="H624">
        <v>64</v>
      </c>
      <c r="I624" s="4">
        <f t="shared" si="28"/>
        <v>92.4375</v>
      </c>
      <c r="J624" t="s">
        <v>21</v>
      </c>
      <c r="K624" t="s">
        <v>22</v>
      </c>
      <c r="L624">
        <v>1523768400</v>
      </c>
      <c r="M624">
        <v>1526014800</v>
      </c>
      <c r="N624" s="9">
        <f>(((L624/60)/60)/24)+DATE(1970,1,1)</f>
        <v>43205.208333333328</v>
      </c>
      <c r="O624" s="9">
        <f t="shared" si="29"/>
        <v>43231.208333333328</v>
      </c>
      <c r="P624" t="b">
        <v>0</v>
      </c>
      <c r="Q624" t="b">
        <v>0</v>
      </c>
      <c r="R624" t="s">
        <v>60</v>
      </c>
      <c r="S624" t="s">
        <v>2035</v>
      </c>
      <c r="T624" t="s">
        <v>2045</v>
      </c>
    </row>
    <row r="625" spans="1:20" ht="17" hidden="1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>
        <f t="shared" si="27"/>
        <v>160</v>
      </c>
      <c r="G625" t="s">
        <v>20</v>
      </c>
      <c r="H625">
        <v>2693</v>
      </c>
      <c r="I625" s="4">
        <f t="shared" si="28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9">
        <f>(((L625/60)/60)/24)+DATE(1970,1,1)</f>
        <v>42201.208333333328</v>
      </c>
      <c r="O625" s="9">
        <f t="shared" si="29"/>
        <v>42206.208333333328</v>
      </c>
      <c r="P625" t="b">
        <v>0</v>
      </c>
      <c r="Q625" t="b">
        <v>0</v>
      </c>
      <c r="R625" t="s">
        <v>33</v>
      </c>
      <c r="S625" t="s">
        <v>2039</v>
      </c>
      <c r="T625" t="s">
        <v>2040</v>
      </c>
    </row>
    <row r="626" spans="1:20" ht="17" hidden="1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>
        <f t="shared" si="27"/>
        <v>279</v>
      </c>
      <c r="G626" t="s">
        <v>20</v>
      </c>
      <c r="H626">
        <v>432</v>
      </c>
      <c r="I626" s="4">
        <f t="shared" si="28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9">
        <f>(((L626/60)/60)/24)+DATE(1970,1,1)</f>
        <v>42029.25</v>
      </c>
      <c r="O626" s="9">
        <f t="shared" si="29"/>
        <v>42035.25</v>
      </c>
      <c r="P626" t="b">
        <v>0</v>
      </c>
      <c r="Q626" t="b">
        <v>0</v>
      </c>
      <c r="R626" t="s">
        <v>122</v>
      </c>
      <c r="S626" t="s">
        <v>2054</v>
      </c>
      <c r="T626" t="s">
        <v>2055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>
        <f t="shared" si="27"/>
        <v>77</v>
      </c>
      <c r="G627" t="s">
        <v>14</v>
      </c>
      <c r="H627">
        <v>62</v>
      </c>
      <c r="I627" s="4">
        <f t="shared" si="28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9">
        <f>(((L627/60)/60)/24)+DATE(1970,1,1)</f>
        <v>43857.25</v>
      </c>
      <c r="O627" s="9">
        <f t="shared" si="29"/>
        <v>43871.25</v>
      </c>
      <c r="P627" t="b">
        <v>0</v>
      </c>
      <c r="Q627" t="b">
        <v>0</v>
      </c>
      <c r="R627" t="s">
        <v>33</v>
      </c>
      <c r="S627" t="s">
        <v>2039</v>
      </c>
      <c r="T627" t="s">
        <v>2040</v>
      </c>
    </row>
    <row r="628" spans="1:20" ht="34" hidden="1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>
        <f t="shared" si="27"/>
        <v>206</v>
      </c>
      <c r="G628" t="s">
        <v>20</v>
      </c>
      <c r="H628">
        <v>189</v>
      </c>
      <c r="I628" s="4">
        <f t="shared" si="28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9">
        <f>(((L628/60)/60)/24)+DATE(1970,1,1)</f>
        <v>40449.208333333336</v>
      </c>
      <c r="O628" s="9">
        <f t="shared" si="29"/>
        <v>40458.208333333336</v>
      </c>
      <c r="P628" t="b">
        <v>0</v>
      </c>
      <c r="Q628" t="b">
        <v>1</v>
      </c>
      <c r="R628" t="s">
        <v>33</v>
      </c>
      <c r="S628" t="s">
        <v>2039</v>
      </c>
      <c r="T628" t="s">
        <v>2040</v>
      </c>
    </row>
    <row r="629" spans="1:20" ht="17" hidden="1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>
        <f t="shared" si="27"/>
        <v>694</v>
      </c>
      <c r="G629" t="s">
        <v>20</v>
      </c>
      <c r="H629">
        <v>154</v>
      </c>
      <c r="I629" s="4">
        <f t="shared" si="28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9">
        <f>(((L629/60)/60)/24)+DATE(1970,1,1)</f>
        <v>40345.208333333336</v>
      </c>
      <c r="O629" s="9">
        <f t="shared" si="29"/>
        <v>40369.208333333336</v>
      </c>
      <c r="P629" t="b">
        <v>1</v>
      </c>
      <c r="Q629" t="b">
        <v>0</v>
      </c>
      <c r="R629" t="s">
        <v>17</v>
      </c>
      <c r="S629" t="s">
        <v>2033</v>
      </c>
      <c r="T629" t="s">
        <v>2034</v>
      </c>
    </row>
    <row r="630" spans="1:20" ht="17" hidden="1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>
        <f t="shared" si="27"/>
        <v>152</v>
      </c>
      <c r="G630" t="s">
        <v>20</v>
      </c>
      <c r="H630">
        <v>96</v>
      </c>
      <c r="I630" s="4">
        <f t="shared" si="28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9">
        <f>(((L630/60)/60)/24)+DATE(1970,1,1)</f>
        <v>40455.208333333336</v>
      </c>
      <c r="O630" s="9">
        <f t="shared" si="29"/>
        <v>40458.208333333336</v>
      </c>
      <c r="P630" t="b">
        <v>0</v>
      </c>
      <c r="Q630" t="b">
        <v>0</v>
      </c>
      <c r="R630" t="s">
        <v>60</v>
      </c>
      <c r="S630" t="s">
        <v>2035</v>
      </c>
      <c r="T630" t="s">
        <v>2045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>
        <f t="shared" si="27"/>
        <v>65</v>
      </c>
      <c r="G631" t="s">
        <v>14</v>
      </c>
      <c r="H631">
        <v>750</v>
      </c>
      <c r="I631" s="4">
        <f t="shared" si="28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9">
        <f>(((L631/60)/60)/24)+DATE(1970,1,1)</f>
        <v>42557.208333333328</v>
      </c>
      <c r="O631" s="9">
        <f t="shared" si="29"/>
        <v>42559.208333333328</v>
      </c>
      <c r="P631" t="b">
        <v>0</v>
      </c>
      <c r="Q631" t="b">
        <v>1</v>
      </c>
      <c r="R631" t="s">
        <v>33</v>
      </c>
      <c r="S631" t="s">
        <v>2039</v>
      </c>
      <c r="T631" t="s">
        <v>2040</v>
      </c>
    </row>
    <row r="632" spans="1:20" ht="17" hidden="1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>
        <f t="shared" si="27"/>
        <v>63</v>
      </c>
      <c r="G632" t="s">
        <v>74</v>
      </c>
      <c r="H632">
        <v>87</v>
      </c>
      <c r="I632" s="4">
        <f t="shared" si="28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9">
        <f>(((L632/60)/60)/24)+DATE(1970,1,1)</f>
        <v>43586.208333333328</v>
      </c>
      <c r="O632" s="9">
        <f t="shared" si="29"/>
        <v>43597.208333333328</v>
      </c>
      <c r="P632" t="b">
        <v>0</v>
      </c>
      <c r="Q632" t="b">
        <v>1</v>
      </c>
      <c r="R632" t="s">
        <v>33</v>
      </c>
      <c r="S632" t="s">
        <v>2039</v>
      </c>
      <c r="T632" t="s">
        <v>2040</v>
      </c>
    </row>
    <row r="633" spans="1:20" ht="17" hidden="1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>
        <f t="shared" si="27"/>
        <v>310</v>
      </c>
      <c r="G633" t="s">
        <v>20</v>
      </c>
      <c r="H633">
        <v>3063</v>
      </c>
      <c r="I633" s="4">
        <f t="shared" si="28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9">
        <f>(((L633/60)/60)/24)+DATE(1970,1,1)</f>
        <v>43550.208333333328</v>
      </c>
      <c r="O633" s="9">
        <f t="shared" si="29"/>
        <v>43554.208333333328</v>
      </c>
      <c r="P633" t="b">
        <v>0</v>
      </c>
      <c r="Q633" t="b">
        <v>0</v>
      </c>
      <c r="R633" t="s">
        <v>33</v>
      </c>
      <c r="S633" t="s">
        <v>2039</v>
      </c>
      <c r="T633" t="s">
        <v>2040</v>
      </c>
    </row>
    <row r="634" spans="1:20" ht="17" hidden="1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>
        <f t="shared" si="27"/>
        <v>43</v>
      </c>
      <c r="G634" t="s">
        <v>47</v>
      </c>
      <c r="H634">
        <v>278</v>
      </c>
      <c r="I634" s="4">
        <f t="shared" si="28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9">
        <f>(((L634/60)/60)/24)+DATE(1970,1,1)</f>
        <v>41945.208333333336</v>
      </c>
      <c r="O634" s="9">
        <f t="shared" si="29"/>
        <v>41963.25</v>
      </c>
      <c r="P634" t="b">
        <v>0</v>
      </c>
      <c r="Q634" t="b">
        <v>0</v>
      </c>
      <c r="R634" t="s">
        <v>33</v>
      </c>
      <c r="S634" t="s">
        <v>2039</v>
      </c>
      <c r="T634" t="s">
        <v>2040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>
        <f t="shared" si="27"/>
        <v>83</v>
      </c>
      <c r="G635" t="s">
        <v>14</v>
      </c>
      <c r="H635">
        <v>105</v>
      </c>
      <c r="I635" s="4">
        <f t="shared" si="28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9">
        <f>(((L635/60)/60)/24)+DATE(1970,1,1)</f>
        <v>42315.25</v>
      </c>
      <c r="O635" s="9">
        <f t="shared" si="29"/>
        <v>42319.25</v>
      </c>
      <c r="P635" t="b">
        <v>0</v>
      </c>
      <c r="Q635" t="b">
        <v>0</v>
      </c>
      <c r="R635" t="s">
        <v>71</v>
      </c>
      <c r="S635" t="s">
        <v>2041</v>
      </c>
      <c r="T635" t="s">
        <v>2049</v>
      </c>
    </row>
    <row r="636" spans="1:20" ht="17" hidden="1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>
        <f t="shared" si="27"/>
        <v>79</v>
      </c>
      <c r="G636" t="s">
        <v>74</v>
      </c>
      <c r="H636">
        <v>1658</v>
      </c>
      <c r="I636" s="4">
        <f t="shared" si="28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9">
        <f>(((L636/60)/60)/24)+DATE(1970,1,1)</f>
        <v>42819.208333333328</v>
      </c>
      <c r="O636" s="9">
        <f t="shared" si="29"/>
        <v>42833.208333333328</v>
      </c>
      <c r="P636" t="b">
        <v>0</v>
      </c>
      <c r="Q636" t="b">
        <v>0</v>
      </c>
      <c r="R636" t="s">
        <v>269</v>
      </c>
      <c r="S636" t="s">
        <v>2041</v>
      </c>
      <c r="T636" t="s">
        <v>2060</v>
      </c>
    </row>
    <row r="637" spans="1:20" ht="17" hidden="1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>
        <f t="shared" si="27"/>
        <v>114</v>
      </c>
      <c r="G637" t="s">
        <v>20</v>
      </c>
      <c r="H637">
        <v>2266</v>
      </c>
      <c r="I637" s="4">
        <f t="shared" si="28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9">
        <f>(((L637/60)/60)/24)+DATE(1970,1,1)</f>
        <v>41314.25</v>
      </c>
      <c r="O637" s="9">
        <f t="shared" si="29"/>
        <v>41346.208333333336</v>
      </c>
      <c r="P637" t="b">
        <v>0</v>
      </c>
      <c r="Q637" t="b">
        <v>0</v>
      </c>
      <c r="R637" t="s">
        <v>269</v>
      </c>
      <c r="S637" t="s">
        <v>2041</v>
      </c>
      <c r="T637" t="s">
        <v>2060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>
        <f t="shared" si="27"/>
        <v>65</v>
      </c>
      <c r="G638" t="s">
        <v>14</v>
      </c>
      <c r="H638">
        <v>2604</v>
      </c>
      <c r="I638" s="4">
        <f t="shared" si="28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9">
        <f>(((L638/60)/60)/24)+DATE(1970,1,1)</f>
        <v>40926.25</v>
      </c>
      <c r="O638" s="9">
        <f t="shared" si="29"/>
        <v>40971.25</v>
      </c>
      <c r="P638" t="b">
        <v>0</v>
      </c>
      <c r="Q638" t="b">
        <v>1</v>
      </c>
      <c r="R638" t="s">
        <v>71</v>
      </c>
      <c r="S638" t="s">
        <v>2041</v>
      </c>
      <c r="T638" t="s">
        <v>2049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>
        <f t="shared" si="27"/>
        <v>79</v>
      </c>
      <c r="G639" t="s">
        <v>14</v>
      </c>
      <c r="H639">
        <v>65</v>
      </c>
      <c r="I639" s="4">
        <f t="shared" si="28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9">
        <f>(((L639/60)/60)/24)+DATE(1970,1,1)</f>
        <v>42688.25</v>
      </c>
      <c r="O639" s="9">
        <f t="shared" si="29"/>
        <v>42696.25</v>
      </c>
      <c r="P639" t="b">
        <v>0</v>
      </c>
      <c r="Q639" t="b">
        <v>0</v>
      </c>
      <c r="R639" t="s">
        <v>33</v>
      </c>
      <c r="S639" t="s">
        <v>2039</v>
      </c>
      <c r="T639" t="s">
        <v>2040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>
        <f t="shared" si="27"/>
        <v>11</v>
      </c>
      <c r="G640" t="s">
        <v>14</v>
      </c>
      <c r="H640">
        <v>94</v>
      </c>
      <c r="I640" s="4">
        <f t="shared" si="28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9">
        <f>(((L640/60)/60)/24)+DATE(1970,1,1)</f>
        <v>40386.208333333336</v>
      </c>
      <c r="O640" s="9">
        <f t="shared" si="29"/>
        <v>40398.208333333336</v>
      </c>
      <c r="P640" t="b">
        <v>0</v>
      </c>
      <c r="Q640" t="b">
        <v>1</v>
      </c>
      <c r="R640" t="s">
        <v>33</v>
      </c>
      <c r="S640" t="s">
        <v>2039</v>
      </c>
      <c r="T640" t="s">
        <v>2040</v>
      </c>
    </row>
    <row r="641" spans="1:20" ht="17" hidden="1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>
        <f t="shared" si="27"/>
        <v>56</v>
      </c>
      <c r="G641" t="s">
        <v>47</v>
      </c>
      <c r="H641">
        <v>45</v>
      </c>
      <c r="I641" s="4">
        <f t="shared" si="28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9">
        <f>(((L641/60)/60)/24)+DATE(1970,1,1)</f>
        <v>43309.208333333328</v>
      </c>
      <c r="O641" s="9">
        <f t="shared" si="29"/>
        <v>43309.208333333328</v>
      </c>
      <c r="P641" t="b">
        <v>0</v>
      </c>
      <c r="Q641" t="b">
        <v>1</v>
      </c>
      <c r="R641" t="s">
        <v>53</v>
      </c>
      <c r="S641" t="s">
        <v>2041</v>
      </c>
      <c r="T641" t="s">
        <v>2044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>
        <f t="shared" si="27"/>
        <v>17</v>
      </c>
      <c r="G642" t="s">
        <v>14</v>
      </c>
      <c r="H642">
        <v>257</v>
      </c>
      <c r="I642" s="4">
        <f t="shared" si="28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9">
        <f>(((L642/60)/60)/24)+DATE(1970,1,1)</f>
        <v>42387.25</v>
      </c>
      <c r="O642" s="9">
        <f t="shared" si="29"/>
        <v>42390.25</v>
      </c>
      <c r="P642" t="b">
        <v>0</v>
      </c>
      <c r="Q642" t="b">
        <v>0</v>
      </c>
      <c r="R642" t="s">
        <v>33</v>
      </c>
      <c r="S642" t="s">
        <v>2039</v>
      </c>
      <c r="T642" t="s">
        <v>2040</v>
      </c>
    </row>
    <row r="643" spans="1:20" ht="34" hidden="1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>
        <f t="shared" ref="F643:F706" si="30">ROUND(E643/D643*100,0)</f>
        <v>120</v>
      </c>
      <c r="G643" t="s">
        <v>20</v>
      </c>
      <c r="H643">
        <v>194</v>
      </c>
      <c r="I643" s="4">
        <f t="shared" ref="I643:I706" si="31">AVERAGE(E643/H643)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9">
        <f>(((L643/60)/60)/24)+DATE(1970,1,1)</f>
        <v>42786.25</v>
      </c>
      <c r="O643" s="9">
        <f t="shared" ref="O643:O706" si="32">(((M643/60)/60)/24)+DATE(1970,1,1)</f>
        <v>42814.208333333328</v>
      </c>
      <c r="P643" t="b">
        <v>0</v>
      </c>
      <c r="Q643" t="b">
        <v>0</v>
      </c>
      <c r="R643" t="s">
        <v>33</v>
      </c>
      <c r="S643" t="s">
        <v>2039</v>
      </c>
      <c r="T643" t="s">
        <v>2040</v>
      </c>
    </row>
    <row r="644" spans="1:20" ht="17" hidden="1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>
        <f t="shared" si="30"/>
        <v>145</v>
      </c>
      <c r="G644" t="s">
        <v>20</v>
      </c>
      <c r="H644">
        <v>129</v>
      </c>
      <c r="I644" s="4">
        <f t="shared" si="3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9">
        <f>(((L644/60)/60)/24)+DATE(1970,1,1)</f>
        <v>43451.25</v>
      </c>
      <c r="O644" s="9">
        <f t="shared" si="32"/>
        <v>43460.25</v>
      </c>
      <c r="P644" t="b">
        <v>0</v>
      </c>
      <c r="Q644" t="b">
        <v>0</v>
      </c>
      <c r="R644" t="s">
        <v>65</v>
      </c>
      <c r="S644" t="s">
        <v>2037</v>
      </c>
      <c r="T644" t="s">
        <v>2046</v>
      </c>
    </row>
    <row r="645" spans="1:20" ht="17" hidden="1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>
        <f t="shared" si="30"/>
        <v>221</v>
      </c>
      <c r="G645" t="s">
        <v>20</v>
      </c>
      <c r="H645">
        <v>375</v>
      </c>
      <c r="I645" s="4">
        <f t="shared" si="3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9">
        <f>(((L645/60)/60)/24)+DATE(1970,1,1)</f>
        <v>42795.25</v>
      </c>
      <c r="O645" s="9">
        <f t="shared" si="32"/>
        <v>42813.208333333328</v>
      </c>
      <c r="P645" t="b">
        <v>0</v>
      </c>
      <c r="Q645" t="b">
        <v>0</v>
      </c>
      <c r="R645" t="s">
        <v>33</v>
      </c>
      <c r="S645" t="s">
        <v>2039</v>
      </c>
      <c r="T645" t="s">
        <v>2040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>
        <f t="shared" si="30"/>
        <v>48</v>
      </c>
      <c r="G646" t="s">
        <v>14</v>
      </c>
      <c r="H646">
        <v>2928</v>
      </c>
      <c r="I646" s="4">
        <f t="shared" si="31"/>
        <v>28</v>
      </c>
      <c r="J646" t="s">
        <v>15</v>
      </c>
      <c r="K646" t="s">
        <v>16</v>
      </c>
      <c r="L646">
        <v>1545112800</v>
      </c>
      <c r="M646">
        <v>1546495200</v>
      </c>
      <c r="N646" s="9">
        <f>(((L646/60)/60)/24)+DATE(1970,1,1)</f>
        <v>43452.25</v>
      </c>
      <c r="O646" s="9">
        <f t="shared" si="32"/>
        <v>43468.25</v>
      </c>
      <c r="P646" t="b">
        <v>0</v>
      </c>
      <c r="Q646" t="b">
        <v>0</v>
      </c>
      <c r="R646" t="s">
        <v>33</v>
      </c>
      <c r="S646" t="s">
        <v>2039</v>
      </c>
      <c r="T646" t="s">
        <v>2040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>
        <f t="shared" si="30"/>
        <v>93</v>
      </c>
      <c r="G647" t="s">
        <v>14</v>
      </c>
      <c r="H647">
        <v>4697</v>
      </c>
      <c r="I647" s="4">
        <f t="shared" si="3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9">
        <f>(((L647/60)/60)/24)+DATE(1970,1,1)</f>
        <v>43369.208333333328</v>
      </c>
      <c r="O647" s="9">
        <f t="shared" si="32"/>
        <v>43390.208333333328</v>
      </c>
      <c r="P647" t="b">
        <v>0</v>
      </c>
      <c r="Q647" t="b">
        <v>1</v>
      </c>
      <c r="R647" t="s">
        <v>23</v>
      </c>
      <c r="S647" t="s">
        <v>2035</v>
      </c>
      <c r="T647" t="s">
        <v>2036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>
        <f t="shared" si="30"/>
        <v>89</v>
      </c>
      <c r="G648" t="s">
        <v>14</v>
      </c>
      <c r="H648">
        <v>2915</v>
      </c>
      <c r="I648" s="4">
        <f t="shared" si="3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9">
        <f>(((L648/60)/60)/24)+DATE(1970,1,1)</f>
        <v>41346.208333333336</v>
      </c>
      <c r="O648" s="9">
        <f t="shared" si="32"/>
        <v>41357.208333333336</v>
      </c>
      <c r="P648" t="b">
        <v>0</v>
      </c>
      <c r="Q648" t="b">
        <v>0</v>
      </c>
      <c r="R648" t="s">
        <v>89</v>
      </c>
      <c r="S648" t="s">
        <v>2050</v>
      </c>
      <c r="T648" t="s">
        <v>2051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>
        <f t="shared" si="30"/>
        <v>41</v>
      </c>
      <c r="G649" t="s">
        <v>14</v>
      </c>
      <c r="H649">
        <v>18</v>
      </c>
      <c r="I649" s="4">
        <f t="shared" si="31"/>
        <v>103.5</v>
      </c>
      <c r="J649" t="s">
        <v>21</v>
      </c>
      <c r="K649" t="s">
        <v>22</v>
      </c>
      <c r="L649">
        <v>1523250000</v>
      </c>
      <c r="M649">
        <v>1525323600</v>
      </c>
      <c r="N649" s="9">
        <f>(((L649/60)/60)/24)+DATE(1970,1,1)</f>
        <v>43199.208333333328</v>
      </c>
      <c r="O649" s="9">
        <f t="shared" si="32"/>
        <v>43223.208333333328</v>
      </c>
      <c r="P649" t="b">
        <v>0</v>
      </c>
      <c r="Q649" t="b">
        <v>0</v>
      </c>
      <c r="R649" t="s">
        <v>206</v>
      </c>
      <c r="S649" t="s">
        <v>2047</v>
      </c>
      <c r="T649" t="s">
        <v>2059</v>
      </c>
    </row>
    <row r="650" spans="1:20" ht="17" hidden="1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>
        <f t="shared" si="30"/>
        <v>63</v>
      </c>
      <c r="G650" t="s">
        <v>74</v>
      </c>
      <c r="H650">
        <v>723</v>
      </c>
      <c r="I650" s="4">
        <f t="shared" si="3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9">
        <f>(((L650/60)/60)/24)+DATE(1970,1,1)</f>
        <v>42922.208333333328</v>
      </c>
      <c r="O650" s="9">
        <f t="shared" si="32"/>
        <v>42940.208333333328</v>
      </c>
      <c r="P650" t="b">
        <v>1</v>
      </c>
      <c r="Q650" t="b">
        <v>0</v>
      </c>
      <c r="R650" t="s">
        <v>17</v>
      </c>
      <c r="S650" t="s">
        <v>2033</v>
      </c>
      <c r="T650" t="s">
        <v>2034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>
        <f t="shared" si="30"/>
        <v>48</v>
      </c>
      <c r="G651" t="s">
        <v>14</v>
      </c>
      <c r="H651">
        <v>602</v>
      </c>
      <c r="I651" s="4">
        <f t="shared" si="3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9">
        <f>(((L651/60)/60)/24)+DATE(1970,1,1)</f>
        <v>40471.208333333336</v>
      </c>
      <c r="O651" s="9">
        <f t="shared" si="32"/>
        <v>40482.208333333336</v>
      </c>
      <c r="P651" t="b">
        <v>1</v>
      </c>
      <c r="Q651" t="b">
        <v>1</v>
      </c>
      <c r="R651" t="s">
        <v>33</v>
      </c>
      <c r="S651" t="s">
        <v>2039</v>
      </c>
      <c r="T651" t="s">
        <v>2040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>
        <f t="shared" si="30"/>
        <v>2</v>
      </c>
      <c r="G652" t="s">
        <v>14</v>
      </c>
      <c r="H652">
        <v>1</v>
      </c>
      <c r="I652" s="4">
        <f t="shared" si="31"/>
        <v>2</v>
      </c>
      <c r="J652" t="s">
        <v>21</v>
      </c>
      <c r="K652" t="s">
        <v>22</v>
      </c>
      <c r="L652">
        <v>1404795600</v>
      </c>
      <c r="M652">
        <v>1407128400</v>
      </c>
      <c r="N652" s="9">
        <f>(((L652/60)/60)/24)+DATE(1970,1,1)</f>
        <v>41828.208333333336</v>
      </c>
      <c r="O652" s="9">
        <f t="shared" si="32"/>
        <v>41855.208333333336</v>
      </c>
      <c r="P652" t="b">
        <v>0</v>
      </c>
      <c r="Q652" t="b">
        <v>0</v>
      </c>
      <c r="R652" t="s">
        <v>159</v>
      </c>
      <c r="S652" t="s">
        <v>2035</v>
      </c>
      <c r="T652" t="s">
        <v>2058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>
        <f t="shared" si="30"/>
        <v>88</v>
      </c>
      <c r="G653" t="s">
        <v>14</v>
      </c>
      <c r="H653">
        <v>3868</v>
      </c>
      <c r="I653" s="4">
        <f t="shared" si="3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9">
        <f>(((L653/60)/60)/24)+DATE(1970,1,1)</f>
        <v>41692.25</v>
      </c>
      <c r="O653" s="9">
        <f t="shared" si="32"/>
        <v>41707.25</v>
      </c>
      <c r="P653" t="b">
        <v>0</v>
      </c>
      <c r="Q653" t="b">
        <v>0</v>
      </c>
      <c r="R653" t="s">
        <v>100</v>
      </c>
      <c r="S653" t="s">
        <v>2041</v>
      </c>
      <c r="T653" t="s">
        <v>2052</v>
      </c>
    </row>
    <row r="654" spans="1:20" ht="17" hidden="1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>
        <f t="shared" si="30"/>
        <v>127</v>
      </c>
      <c r="G654" t="s">
        <v>20</v>
      </c>
      <c r="H654">
        <v>409</v>
      </c>
      <c r="I654" s="4">
        <f t="shared" si="3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9">
        <f>(((L654/60)/60)/24)+DATE(1970,1,1)</f>
        <v>42587.208333333328</v>
      </c>
      <c r="O654" s="9">
        <f t="shared" si="32"/>
        <v>42630.208333333328</v>
      </c>
      <c r="P654" t="b">
        <v>0</v>
      </c>
      <c r="Q654" t="b">
        <v>0</v>
      </c>
      <c r="R654" t="s">
        <v>28</v>
      </c>
      <c r="S654" t="s">
        <v>2037</v>
      </c>
      <c r="T654" t="s">
        <v>2038</v>
      </c>
    </row>
    <row r="655" spans="1:20" ht="17" hidden="1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>
        <f t="shared" si="30"/>
        <v>2339</v>
      </c>
      <c r="G655" t="s">
        <v>20</v>
      </c>
      <c r="H655">
        <v>234</v>
      </c>
      <c r="I655" s="4">
        <f t="shared" si="3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9">
        <f>(((L655/60)/60)/24)+DATE(1970,1,1)</f>
        <v>42468.208333333328</v>
      </c>
      <c r="O655" s="9">
        <f t="shared" si="32"/>
        <v>42470.208333333328</v>
      </c>
      <c r="P655" t="b">
        <v>0</v>
      </c>
      <c r="Q655" t="b">
        <v>0</v>
      </c>
      <c r="R655" t="s">
        <v>28</v>
      </c>
      <c r="S655" t="s">
        <v>2037</v>
      </c>
      <c r="T655" t="s">
        <v>2038</v>
      </c>
    </row>
    <row r="656" spans="1:20" ht="17" hidden="1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>
        <f t="shared" si="30"/>
        <v>508</v>
      </c>
      <c r="G656" t="s">
        <v>20</v>
      </c>
      <c r="H656">
        <v>3016</v>
      </c>
      <c r="I656" s="4">
        <f t="shared" si="3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9">
        <f>(((L656/60)/60)/24)+DATE(1970,1,1)</f>
        <v>42240.208333333328</v>
      </c>
      <c r="O656" s="9">
        <f t="shared" si="32"/>
        <v>42245.208333333328</v>
      </c>
      <c r="P656" t="b">
        <v>0</v>
      </c>
      <c r="Q656" t="b">
        <v>0</v>
      </c>
      <c r="R656" t="s">
        <v>148</v>
      </c>
      <c r="S656" t="s">
        <v>2035</v>
      </c>
      <c r="T656" t="s">
        <v>2057</v>
      </c>
    </row>
    <row r="657" spans="1:20" ht="17" hidden="1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>
        <f t="shared" si="30"/>
        <v>191</v>
      </c>
      <c r="G657" t="s">
        <v>20</v>
      </c>
      <c r="H657">
        <v>264</v>
      </c>
      <c r="I657" s="4">
        <f t="shared" si="3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9">
        <f>(((L657/60)/60)/24)+DATE(1970,1,1)</f>
        <v>42796.25</v>
      </c>
      <c r="O657" s="9">
        <f t="shared" si="32"/>
        <v>42809.208333333328</v>
      </c>
      <c r="P657" t="b">
        <v>1</v>
      </c>
      <c r="Q657" t="b">
        <v>0</v>
      </c>
      <c r="R657" t="s">
        <v>122</v>
      </c>
      <c r="S657" t="s">
        <v>2054</v>
      </c>
      <c r="T657" t="s">
        <v>2055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>
        <f t="shared" si="30"/>
        <v>42</v>
      </c>
      <c r="G658" t="s">
        <v>14</v>
      </c>
      <c r="H658">
        <v>504</v>
      </c>
      <c r="I658" s="4">
        <f t="shared" si="3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9">
        <f>(((L658/60)/60)/24)+DATE(1970,1,1)</f>
        <v>43097.25</v>
      </c>
      <c r="O658" s="9">
        <f t="shared" si="32"/>
        <v>43102.25</v>
      </c>
      <c r="P658" t="b">
        <v>0</v>
      </c>
      <c r="Q658" t="b">
        <v>0</v>
      </c>
      <c r="R658" t="s">
        <v>17</v>
      </c>
      <c r="S658" t="s">
        <v>2033</v>
      </c>
      <c r="T658" t="s">
        <v>2034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>
        <f t="shared" si="30"/>
        <v>8</v>
      </c>
      <c r="G659" t="s">
        <v>14</v>
      </c>
      <c r="H659">
        <v>14</v>
      </c>
      <c r="I659" s="4">
        <f t="shared" si="3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9">
        <f>(((L659/60)/60)/24)+DATE(1970,1,1)</f>
        <v>43096.25</v>
      </c>
      <c r="O659" s="9">
        <f t="shared" si="32"/>
        <v>43112.25</v>
      </c>
      <c r="P659" t="b">
        <v>0</v>
      </c>
      <c r="Q659" t="b">
        <v>0</v>
      </c>
      <c r="R659" t="s">
        <v>474</v>
      </c>
      <c r="S659" t="s">
        <v>2041</v>
      </c>
      <c r="T659" t="s">
        <v>2063</v>
      </c>
    </row>
    <row r="660" spans="1:20" ht="17" hidden="1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>
        <f t="shared" si="30"/>
        <v>60</v>
      </c>
      <c r="G660" t="s">
        <v>74</v>
      </c>
      <c r="H660">
        <v>390</v>
      </c>
      <c r="I660" s="4">
        <f t="shared" si="3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9">
        <f>(((L660/60)/60)/24)+DATE(1970,1,1)</f>
        <v>42246.208333333328</v>
      </c>
      <c r="O660" s="9">
        <f t="shared" si="32"/>
        <v>42269.208333333328</v>
      </c>
      <c r="P660" t="b">
        <v>0</v>
      </c>
      <c r="Q660" t="b">
        <v>0</v>
      </c>
      <c r="R660" t="s">
        <v>23</v>
      </c>
      <c r="S660" t="s">
        <v>2035</v>
      </c>
      <c r="T660" t="s">
        <v>2036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>
        <f t="shared" si="30"/>
        <v>47</v>
      </c>
      <c r="G661" t="s">
        <v>14</v>
      </c>
      <c r="H661">
        <v>750</v>
      </c>
      <c r="I661" s="4">
        <f t="shared" si="3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9">
        <f>(((L661/60)/60)/24)+DATE(1970,1,1)</f>
        <v>40570.25</v>
      </c>
      <c r="O661" s="9">
        <f t="shared" si="32"/>
        <v>40571.25</v>
      </c>
      <c r="P661" t="b">
        <v>0</v>
      </c>
      <c r="Q661" t="b">
        <v>0</v>
      </c>
      <c r="R661" t="s">
        <v>42</v>
      </c>
      <c r="S661" t="s">
        <v>2041</v>
      </c>
      <c r="T661" t="s">
        <v>2042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>
        <f t="shared" si="30"/>
        <v>82</v>
      </c>
      <c r="G662" t="s">
        <v>14</v>
      </c>
      <c r="H662">
        <v>77</v>
      </c>
      <c r="I662" s="4">
        <f t="shared" si="3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9">
        <f>(((L662/60)/60)/24)+DATE(1970,1,1)</f>
        <v>42237.208333333328</v>
      </c>
      <c r="O662" s="9">
        <f t="shared" si="32"/>
        <v>42246.208333333328</v>
      </c>
      <c r="P662" t="b">
        <v>1</v>
      </c>
      <c r="Q662" t="b">
        <v>0</v>
      </c>
      <c r="R662" t="s">
        <v>33</v>
      </c>
      <c r="S662" t="s">
        <v>2039</v>
      </c>
      <c r="T662" t="s">
        <v>2040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>
        <f t="shared" si="30"/>
        <v>54</v>
      </c>
      <c r="G663" t="s">
        <v>14</v>
      </c>
      <c r="H663">
        <v>752</v>
      </c>
      <c r="I663" s="4">
        <f t="shared" si="3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9">
        <f>(((L663/60)/60)/24)+DATE(1970,1,1)</f>
        <v>40996.208333333336</v>
      </c>
      <c r="O663" s="9">
        <f t="shared" si="32"/>
        <v>41026.208333333336</v>
      </c>
      <c r="P663" t="b">
        <v>0</v>
      </c>
      <c r="Q663" t="b">
        <v>0</v>
      </c>
      <c r="R663" t="s">
        <v>159</v>
      </c>
      <c r="S663" t="s">
        <v>2035</v>
      </c>
      <c r="T663" t="s">
        <v>2058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>
        <f t="shared" si="30"/>
        <v>98</v>
      </c>
      <c r="G664" t="s">
        <v>14</v>
      </c>
      <c r="H664">
        <v>131</v>
      </c>
      <c r="I664" s="4">
        <f t="shared" si="3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9">
        <f>(((L664/60)/60)/24)+DATE(1970,1,1)</f>
        <v>43443.25</v>
      </c>
      <c r="O664" s="9">
        <f t="shared" si="32"/>
        <v>43447.25</v>
      </c>
      <c r="P664" t="b">
        <v>0</v>
      </c>
      <c r="Q664" t="b">
        <v>0</v>
      </c>
      <c r="R664" t="s">
        <v>33</v>
      </c>
      <c r="S664" t="s">
        <v>2039</v>
      </c>
      <c r="T664" t="s">
        <v>2040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>
        <f t="shared" si="30"/>
        <v>77</v>
      </c>
      <c r="G665" t="s">
        <v>14</v>
      </c>
      <c r="H665">
        <v>87</v>
      </c>
      <c r="I665" s="4">
        <f t="shared" si="3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9">
        <f>(((L665/60)/60)/24)+DATE(1970,1,1)</f>
        <v>40458.208333333336</v>
      </c>
      <c r="O665" s="9">
        <f t="shared" si="32"/>
        <v>40481.208333333336</v>
      </c>
      <c r="P665" t="b">
        <v>0</v>
      </c>
      <c r="Q665" t="b">
        <v>0</v>
      </c>
      <c r="R665" t="s">
        <v>33</v>
      </c>
      <c r="S665" t="s">
        <v>2039</v>
      </c>
      <c r="T665" t="s">
        <v>2040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>
        <f t="shared" si="30"/>
        <v>33</v>
      </c>
      <c r="G666" t="s">
        <v>14</v>
      </c>
      <c r="H666">
        <v>1063</v>
      </c>
      <c r="I666" s="4">
        <f t="shared" si="3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9">
        <f>(((L666/60)/60)/24)+DATE(1970,1,1)</f>
        <v>40959.25</v>
      </c>
      <c r="O666" s="9">
        <f t="shared" si="32"/>
        <v>40969.25</v>
      </c>
      <c r="P666" t="b">
        <v>0</v>
      </c>
      <c r="Q666" t="b">
        <v>0</v>
      </c>
      <c r="R666" t="s">
        <v>159</v>
      </c>
      <c r="S666" t="s">
        <v>2035</v>
      </c>
      <c r="T666" t="s">
        <v>2058</v>
      </c>
    </row>
    <row r="667" spans="1:20" ht="17" hidden="1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>
        <f t="shared" si="30"/>
        <v>240</v>
      </c>
      <c r="G667" t="s">
        <v>20</v>
      </c>
      <c r="H667">
        <v>272</v>
      </c>
      <c r="I667" s="4">
        <f t="shared" si="3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9">
        <f>(((L667/60)/60)/24)+DATE(1970,1,1)</f>
        <v>40733.208333333336</v>
      </c>
      <c r="O667" s="9">
        <f t="shared" si="32"/>
        <v>40747.208333333336</v>
      </c>
      <c r="P667" t="b">
        <v>0</v>
      </c>
      <c r="Q667" t="b">
        <v>1</v>
      </c>
      <c r="R667" t="s">
        <v>42</v>
      </c>
      <c r="S667" t="s">
        <v>2041</v>
      </c>
      <c r="T667" t="s">
        <v>2042</v>
      </c>
    </row>
    <row r="668" spans="1:20" ht="17" hidden="1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>
        <f t="shared" si="30"/>
        <v>64</v>
      </c>
      <c r="G668" t="s">
        <v>74</v>
      </c>
      <c r="H668">
        <v>25</v>
      </c>
      <c r="I668" s="4">
        <f t="shared" si="3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9">
        <f>(((L668/60)/60)/24)+DATE(1970,1,1)</f>
        <v>41516.208333333336</v>
      </c>
      <c r="O668" s="9">
        <f t="shared" si="32"/>
        <v>41522.208333333336</v>
      </c>
      <c r="P668" t="b">
        <v>0</v>
      </c>
      <c r="Q668" t="b">
        <v>1</v>
      </c>
      <c r="R668" t="s">
        <v>33</v>
      </c>
      <c r="S668" t="s">
        <v>2039</v>
      </c>
      <c r="T668" t="s">
        <v>2040</v>
      </c>
    </row>
    <row r="669" spans="1:20" ht="34" hidden="1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>
        <f t="shared" si="30"/>
        <v>176</v>
      </c>
      <c r="G669" t="s">
        <v>20</v>
      </c>
      <c r="H669">
        <v>419</v>
      </c>
      <c r="I669" s="4">
        <f t="shared" si="3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9">
        <f>(((L669/60)/60)/24)+DATE(1970,1,1)</f>
        <v>41892.208333333336</v>
      </c>
      <c r="O669" s="9">
        <f t="shared" si="32"/>
        <v>41901.208333333336</v>
      </c>
      <c r="P669" t="b">
        <v>0</v>
      </c>
      <c r="Q669" t="b">
        <v>0</v>
      </c>
      <c r="R669" t="s">
        <v>1029</v>
      </c>
      <c r="S669" t="s">
        <v>2064</v>
      </c>
      <c r="T669" t="s">
        <v>2065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>
        <f t="shared" si="30"/>
        <v>20</v>
      </c>
      <c r="G670" t="s">
        <v>14</v>
      </c>
      <c r="H670">
        <v>76</v>
      </c>
      <c r="I670" s="4">
        <f t="shared" si="3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9">
        <f>(((L670/60)/60)/24)+DATE(1970,1,1)</f>
        <v>41122.208333333336</v>
      </c>
      <c r="O670" s="9">
        <f t="shared" si="32"/>
        <v>41134.208333333336</v>
      </c>
      <c r="P670" t="b">
        <v>0</v>
      </c>
      <c r="Q670" t="b">
        <v>0</v>
      </c>
      <c r="R670" t="s">
        <v>33</v>
      </c>
      <c r="S670" t="s">
        <v>2039</v>
      </c>
      <c r="T670" t="s">
        <v>2040</v>
      </c>
    </row>
    <row r="671" spans="1:20" ht="17" hidden="1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>
        <f t="shared" si="30"/>
        <v>359</v>
      </c>
      <c r="G671" t="s">
        <v>20</v>
      </c>
      <c r="H671">
        <v>1621</v>
      </c>
      <c r="I671" s="4">
        <f t="shared" si="3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9">
        <f>(((L671/60)/60)/24)+DATE(1970,1,1)</f>
        <v>42912.208333333328</v>
      </c>
      <c r="O671" s="9">
        <f t="shared" si="32"/>
        <v>42921.208333333328</v>
      </c>
      <c r="P671" t="b">
        <v>0</v>
      </c>
      <c r="Q671" t="b">
        <v>0</v>
      </c>
      <c r="R671" t="s">
        <v>33</v>
      </c>
      <c r="S671" t="s">
        <v>2039</v>
      </c>
      <c r="T671" t="s">
        <v>2040</v>
      </c>
    </row>
    <row r="672" spans="1:20" ht="34" hidden="1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>
        <f t="shared" si="30"/>
        <v>469</v>
      </c>
      <c r="G672" t="s">
        <v>20</v>
      </c>
      <c r="H672">
        <v>1101</v>
      </c>
      <c r="I672" s="4">
        <f t="shared" si="3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9">
        <f>(((L672/60)/60)/24)+DATE(1970,1,1)</f>
        <v>42425.25</v>
      </c>
      <c r="O672" s="9">
        <f t="shared" si="32"/>
        <v>42437.25</v>
      </c>
      <c r="P672" t="b">
        <v>0</v>
      </c>
      <c r="Q672" t="b">
        <v>0</v>
      </c>
      <c r="R672" t="s">
        <v>60</v>
      </c>
      <c r="S672" t="s">
        <v>2035</v>
      </c>
      <c r="T672" t="s">
        <v>2045</v>
      </c>
    </row>
    <row r="673" spans="1:20" ht="34" hidden="1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>
        <f t="shared" si="30"/>
        <v>122</v>
      </c>
      <c r="G673" t="s">
        <v>20</v>
      </c>
      <c r="H673">
        <v>1073</v>
      </c>
      <c r="I673" s="4">
        <f t="shared" si="3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9">
        <f>(((L673/60)/60)/24)+DATE(1970,1,1)</f>
        <v>40390.208333333336</v>
      </c>
      <c r="O673" s="9">
        <f t="shared" si="32"/>
        <v>40394.208333333336</v>
      </c>
      <c r="P673" t="b">
        <v>0</v>
      </c>
      <c r="Q673" t="b">
        <v>1</v>
      </c>
      <c r="R673" t="s">
        <v>33</v>
      </c>
      <c r="S673" t="s">
        <v>2039</v>
      </c>
      <c r="T673" t="s">
        <v>2040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>
        <f t="shared" si="30"/>
        <v>56</v>
      </c>
      <c r="G674" t="s">
        <v>14</v>
      </c>
      <c r="H674">
        <v>4428</v>
      </c>
      <c r="I674" s="4">
        <f t="shared" si="3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9">
        <f>(((L674/60)/60)/24)+DATE(1970,1,1)</f>
        <v>43180.208333333328</v>
      </c>
      <c r="O674" s="9">
        <f t="shared" si="32"/>
        <v>43190.208333333328</v>
      </c>
      <c r="P674" t="b">
        <v>0</v>
      </c>
      <c r="Q674" t="b">
        <v>0</v>
      </c>
      <c r="R674" t="s">
        <v>33</v>
      </c>
      <c r="S674" t="s">
        <v>2039</v>
      </c>
      <c r="T674" t="s">
        <v>2040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>
        <f t="shared" si="30"/>
        <v>44</v>
      </c>
      <c r="G675" t="s">
        <v>14</v>
      </c>
      <c r="H675">
        <v>58</v>
      </c>
      <c r="I675" s="4">
        <f t="shared" si="3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9">
        <f>(((L675/60)/60)/24)+DATE(1970,1,1)</f>
        <v>42475.208333333328</v>
      </c>
      <c r="O675" s="9">
        <f t="shared" si="32"/>
        <v>42496.208333333328</v>
      </c>
      <c r="P675" t="b">
        <v>0</v>
      </c>
      <c r="Q675" t="b">
        <v>0</v>
      </c>
      <c r="R675" t="s">
        <v>60</v>
      </c>
      <c r="S675" t="s">
        <v>2035</v>
      </c>
      <c r="T675" t="s">
        <v>2045</v>
      </c>
    </row>
    <row r="676" spans="1:20" ht="17" hidden="1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>
        <f t="shared" si="30"/>
        <v>34</v>
      </c>
      <c r="G676" t="s">
        <v>74</v>
      </c>
      <c r="H676">
        <v>1218</v>
      </c>
      <c r="I676" s="4">
        <f t="shared" si="3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9">
        <f>(((L676/60)/60)/24)+DATE(1970,1,1)</f>
        <v>40774.208333333336</v>
      </c>
      <c r="O676" s="9">
        <f t="shared" si="32"/>
        <v>40821.208333333336</v>
      </c>
      <c r="P676" t="b">
        <v>0</v>
      </c>
      <c r="Q676" t="b">
        <v>0</v>
      </c>
      <c r="R676" t="s">
        <v>122</v>
      </c>
      <c r="S676" t="s">
        <v>2054</v>
      </c>
      <c r="T676" t="s">
        <v>2055</v>
      </c>
    </row>
    <row r="677" spans="1:20" ht="17" hidden="1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>
        <f t="shared" si="30"/>
        <v>123</v>
      </c>
      <c r="G677" t="s">
        <v>20</v>
      </c>
      <c r="H677">
        <v>331</v>
      </c>
      <c r="I677" s="4">
        <f t="shared" si="3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9">
        <f>(((L677/60)/60)/24)+DATE(1970,1,1)</f>
        <v>43719.208333333328</v>
      </c>
      <c r="O677" s="9">
        <f t="shared" si="32"/>
        <v>43726.208333333328</v>
      </c>
      <c r="P677" t="b">
        <v>0</v>
      </c>
      <c r="Q677" t="b">
        <v>0</v>
      </c>
      <c r="R677" t="s">
        <v>1029</v>
      </c>
      <c r="S677" t="s">
        <v>2064</v>
      </c>
      <c r="T677" t="s">
        <v>2065</v>
      </c>
    </row>
    <row r="678" spans="1:20" ht="17" hidden="1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>
        <f t="shared" si="30"/>
        <v>190</v>
      </c>
      <c r="G678" t="s">
        <v>20</v>
      </c>
      <c r="H678">
        <v>1170</v>
      </c>
      <c r="I678" s="4">
        <f t="shared" si="3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9">
        <f>(((L678/60)/60)/24)+DATE(1970,1,1)</f>
        <v>41178.208333333336</v>
      </c>
      <c r="O678" s="9">
        <f t="shared" si="32"/>
        <v>41187.208333333336</v>
      </c>
      <c r="P678" t="b">
        <v>0</v>
      </c>
      <c r="Q678" t="b">
        <v>0</v>
      </c>
      <c r="R678" t="s">
        <v>122</v>
      </c>
      <c r="S678" t="s">
        <v>2054</v>
      </c>
      <c r="T678" t="s">
        <v>2055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>
        <f t="shared" si="30"/>
        <v>84</v>
      </c>
      <c r="G679" t="s">
        <v>14</v>
      </c>
      <c r="H679">
        <v>111</v>
      </c>
      <c r="I679" s="4">
        <f t="shared" si="3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9">
        <f>(((L679/60)/60)/24)+DATE(1970,1,1)</f>
        <v>42561.208333333328</v>
      </c>
      <c r="O679" s="9">
        <f t="shared" si="32"/>
        <v>42611.208333333328</v>
      </c>
      <c r="P679" t="b">
        <v>0</v>
      </c>
      <c r="Q679" t="b">
        <v>0</v>
      </c>
      <c r="R679" t="s">
        <v>119</v>
      </c>
      <c r="S679" t="s">
        <v>2047</v>
      </c>
      <c r="T679" t="s">
        <v>2053</v>
      </c>
    </row>
    <row r="680" spans="1:20" ht="17" hidden="1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>
        <f t="shared" si="30"/>
        <v>18</v>
      </c>
      <c r="G680" t="s">
        <v>74</v>
      </c>
      <c r="H680">
        <v>215</v>
      </c>
      <c r="I680" s="4">
        <f t="shared" si="3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9">
        <f>(((L680/60)/60)/24)+DATE(1970,1,1)</f>
        <v>43484.25</v>
      </c>
      <c r="O680" s="9">
        <f t="shared" si="32"/>
        <v>43486.25</v>
      </c>
      <c r="P680" t="b">
        <v>0</v>
      </c>
      <c r="Q680" t="b">
        <v>0</v>
      </c>
      <c r="R680" t="s">
        <v>53</v>
      </c>
      <c r="S680" t="s">
        <v>2041</v>
      </c>
      <c r="T680" t="s">
        <v>2044</v>
      </c>
    </row>
    <row r="681" spans="1:20" ht="17" hidden="1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>
        <f t="shared" si="30"/>
        <v>1037</v>
      </c>
      <c r="G681" t="s">
        <v>20</v>
      </c>
      <c r="H681">
        <v>363</v>
      </c>
      <c r="I681" s="4">
        <f t="shared" si="3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9">
        <f>(((L681/60)/60)/24)+DATE(1970,1,1)</f>
        <v>43756.208333333328</v>
      </c>
      <c r="O681" s="9">
        <f t="shared" si="32"/>
        <v>43761.208333333328</v>
      </c>
      <c r="P681" t="b">
        <v>0</v>
      </c>
      <c r="Q681" t="b">
        <v>1</v>
      </c>
      <c r="R681" t="s">
        <v>17</v>
      </c>
      <c r="S681" t="s">
        <v>2033</v>
      </c>
      <c r="T681" t="s">
        <v>2034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>
        <f t="shared" si="30"/>
        <v>97</v>
      </c>
      <c r="G682" t="s">
        <v>14</v>
      </c>
      <c r="H682">
        <v>2955</v>
      </c>
      <c r="I682" s="4">
        <f t="shared" si="3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9">
        <f>(((L682/60)/60)/24)+DATE(1970,1,1)</f>
        <v>43813.25</v>
      </c>
      <c r="O682" s="9">
        <f t="shared" si="32"/>
        <v>43815.25</v>
      </c>
      <c r="P682" t="b">
        <v>0</v>
      </c>
      <c r="Q682" t="b">
        <v>1</v>
      </c>
      <c r="R682" t="s">
        <v>292</v>
      </c>
      <c r="S682" t="s">
        <v>2050</v>
      </c>
      <c r="T682" t="s">
        <v>2061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>
        <f t="shared" si="30"/>
        <v>86</v>
      </c>
      <c r="G683" t="s">
        <v>14</v>
      </c>
      <c r="H683">
        <v>1657</v>
      </c>
      <c r="I683" s="4">
        <f t="shared" si="3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9">
        <f>(((L683/60)/60)/24)+DATE(1970,1,1)</f>
        <v>40898.25</v>
      </c>
      <c r="O683" s="9">
        <f t="shared" si="32"/>
        <v>40904.25</v>
      </c>
      <c r="P683" t="b">
        <v>0</v>
      </c>
      <c r="Q683" t="b">
        <v>0</v>
      </c>
      <c r="R683" t="s">
        <v>33</v>
      </c>
      <c r="S683" t="s">
        <v>2039</v>
      </c>
      <c r="T683" t="s">
        <v>2040</v>
      </c>
    </row>
    <row r="684" spans="1:20" ht="17" hidden="1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>
        <f t="shared" si="30"/>
        <v>150</v>
      </c>
      <c r="G684" t="s">
        <v>20</v>
      </c>
      <c r="H684">
        <v>103</v>
      </c>
      <c r="I684" s="4">
        <f t="shared" si="3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9">
        <f>(((L684/60)/60)/24)+DATE(1970,1,1)</f>
        <v>41619.25</v>
      </c>
      <c r="O684" s="9">
        <f t="shared" si="32"/>
        <v>41628.25</v>
      </c>
      <c r="P684" t="b">
        <v>0</v>
      </c>
      <c r="Q684" t="b">
        <v>0</v>
      </c>
      <c r="R684" t="s">
        <v>33</v>
      </c>
      <c r="S684" t="s">
        <v>2039</v>
      </c>
      <c r="T684" t="s">
        <v>2040</v>
      </c>
    </row>
    <row r="685" spans="1:20" ht="17" hidden="1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>
        <f t="shared" si="30"/>
        <v>358</v>
      </c>
      <c r="G685" t="s">
        <v>20</v>
      </c>
      <c r="H685">
        <v>147</v>
      </c>
      <c r="I685" s="4">
        <f t="shared" si="3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9">
        <f>(((L685/60)/60)/24)+DATE(1970,1,1)</f>
        <v>43359.208333333328</v>
      </c>
      <c r="O685" s="9">
        <f t="shared" si="32"/>
        <v>43361.208333333328</v>
      </c>
      <c r="P685" t="b">
        <v>0</v>
      </c>
      <c r="Q685" t="b">
        <v>0</v>
      </c>
      <c r="R685" t="s">
        <v>33</v>
      </c>
      <c r="S685" t="s">
        <v>2039</v>
      </c>
      <c r="T685" t="s">
        <v>2040</v>
      </c>
    </row>
    <row r="686" spans="1:20" ht="17" hidden="1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>
        <f t="shared" si="30"/>
        <v>543</v>
      </c>
      <c r="G686" t="s">
        <v>20</v>
      </c>
      <c r="H686">
        <v>110</v>
      </c>
      <c r="I686" s="4">
        <f t="shared" si="3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9">
        <f>(((L686/60)/60)/24)+DATE(1970,1,1)</f>
        <v>40358.208333333336</v>
      </c>
      <c r="O686" s="9">
        <f t="shared" si="32"/>
        <v>40378.208333333336</v>
      </c>
      <c r="P686" t="b">
        <v>0</v>
      </c>
      <c r="Q686" t="b">
        <v>0</v>
      </c>
      <c r="R686" t="s">
        <v>68</v>
      </c>
      <c r="S686" t="s">
        <v>2047</v>
      </c>
      <c r="T686" t="s">
        <v>2048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>
        <f t="shared" si="30"/>
        <v>68</v>
      </c>
      <c r="G687" t="s">
        <v>14</v>
      </c>
      <c r="H687">
        <v>926</v>
      </c>
      <c r="I687" s="4">
        <f t="shared" si="3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9">
        <f>(((L687/60)/60)/24)+DATE(1970,1,1)</f>
        <v>42239.208333333328</v>
      </c>
      <c r="O687" s="9">
        <f t="shared" si="32"/>
        <v>42263.208333333328</v>
      </c>
      <c r="P687" t="b">
        <v>0</v>
      </c>
      <c r="Q687" t="b">
        <v>0</v>
      </c>
      <c r="R687" t="s">
        <v>33</v>
      </c>
      <c r="S687" t="s">
        <v>2039</v>
      </c>
      <c r="T687" t="s">
        <v>2040</v>
      </c>
    </row>
    <row r="688" spans="1:20" ht="17" hidden="1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>
        <f t="shared" si="30"/>
        <v>192</v>
      </c>
      <c r="G688" t="s">
        <v>20</v>
      </c>
      <c r="H688">
        <v>134</v>
      </c>
      <c r="I688" s="4">
        <f t="shared" si="3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9">
        <f>(((L688/60)/60)/24)+DATE(1970,1,1)</f>
        <v>43186.208333333328</v>
      </c>
      <c r="O688" s="9">
        <f t="shared" si="32"/>
        <v>43197.208333333328</v>
      </c>
      <c r="P688" t="b">
        <v>0</v>
      </c>
      <c r="Q688" t="b">
        <v>0</v>
      </c>
      <c r="R688" t="s">
        <v>65</v>
      </c>
      <c r="S688" t="s">
        <v>2037</v>
      </c>
      <c r="T688" t="s">
        <v>2046</v>
      </c>
    </row>
    <row r="689" spans="1:20" ht="17" hidden="1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>
        <f t="shared" si="30"/>
        <v>932</v>
      </c>
      <c r="G689" t="s">
        <v>20</v>
      </c>
      <c r="H689">
        <v>269</v>
      </c>
      <c r="I689" s="4">
        <f t="shared" si="3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9">
        <f>(((L689/60)/60)/24)+DATE(1970,1,1)</f>
        <v>42806.25</v>
      </c>
      <c r="O689" s="9">
        <f t="shared" si="32"/>
        <v>42809.208333333328</v>
      </c>
      <c r="P689" t="b">
        <v>0</v>
      </c>
      <c r="Q689" t="b">
        <v>0</v>
      </c>
      <c r="R689" t="s">
        <v>33</v>
      </c>
      <c r="S689" t="s">
        <v>2039</v>
      </c>
      <c r="T689" t="s">
        <v>2040</v>
      </c>
    </row>
    <row r="690" spans="1:20" ht="17" hidden="1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>
        <f t="shared" si="30"/>
        <v>429</v>
      </c>
      <c r="G690" t="s">
        <v>20</v>
      </c>
      <c r="H690">
        <v>175</v>
      </c>
      <c r="I690" s="4">
        <f t="shared" si="3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9">
        <f>(((L690/60)/60)/24)+DATE(1970,1,1)</f>
        <v>43475.25</v>
      </c>
      <c r="O690" s="9">
        <f t="shared" si="32"/>
        <v>43491.25</v>
      </c>
      <c r="P690" t="b">
        <v>0</v>
      </c>
      <c r="Q690" t="b">
        <v>1</v>
      </c>
      <c r="R690" t="s">
        <v>269</v>
      </c>
      <c r="S690" t="s">
        <v>2041</v>
      </c>
      <c r="T690" t="s">
        <v>2060</v>
      </c>
    </row>
    <row r="691" spans="1:20" ht="17" hidden="1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>
        <f t="shared" si="30"/>
        <v>101</v>
      </c>
      <c r="G691" t="s">
        <v>20</v>
      </c>
      <c r="H691">
        <v>69</v>
      </c>
      <c r="I691" s="4">
        <f t="shared" si="3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9">
        <f>(((L691/60)/60)/24)+DATE(1970,1,1)</f>
        <v>41576.208333333336</v>
      </c>
      <c r="O691" s="9">
        <f t="shared" si="32"/>
        <v>41588.25</v>
      </c>
      <c r="P691" t="b">
        <v>0</v>
      </c>
      <c r="Q691" t="b">
        <v>0</v>
      </c>
      <c r="R691" t="s">
        <v>28</v>
      </c>
      <c r="S691" t="s">
        <v>2037</v>
      </c>
      <c r="T691" t="s">
        <v>2038</v>
      </c>
    </row>
    <row r="692" spans="1:20" ht="17" hidden="1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>
        <f t="shared" si="30"/>
        <v>227</v>
      </c>
      <c r="G692" t="s">
        <v>20</v>
      </c>
      <c r="H692">
        <v>190</v>
      </c>
      <c r="I692" s="4">
        <f t="shared" si="3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9">
        <f>(((L692/60)/60)/24)+DATE(1970,1,1)</f>
        <v>40874.25</v>
      </c>
      <c r="O692" s="9">
        <f t="shared" si="32"/>
        <v>40880.25</v>
      </c>
      <c r="P692" t="b">
        <v>0</v>
      </c>
      <c r="Q692" t="b">
        <v>1</v>
      </c>
      <c r="R692" t="s">
        <v>42</v>
      </c>
      <c r="S692" t="s">
        <v>2041</v>
      </c>
      <c r="T692" t="s">
        <v>2042</v>
      </c>
    </row>
    <row r="693" spans="1:20" ht="17" hidden="1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>
        <f t="shared" si="30"/>
        <v>142</v>
      </c>
      <c r="G693" t="s">
        <v>20</v>
      </c>
      <c r="H693">
        <v>237</v>
      </c>
      <c r="I693" s="4">
        <f t="shared" si="3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9">
        <f>(((L693/60)/60)/24)+DATE(1970,1,1)</f>
        <v>41185.208333333336</v>
      </c>
      <c r="O693" s="9">
        <f t="shared" si="32"/>
        <v>41202.208333333336</v>
      </c>
      <c r="P693" t="b">
        <v>1</v>
      </c>
      <c r="Q693" t="b">
        <v>1</v>
      </c>
      <c r="R693" t="s">
        <v>42</v>
      </c>
      <c r="S693" t="s">
        <v>2041</v>
      </c>
      <c r="T693" t="s">
        <v>2042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>
        <f t="shared" si="30"/>
        <v>91</v>
      </c>
      <c r="G694" t="s">
        <v>14</v>
      </c>
      <c r="H694">
        <v>77</v>
      </c>
      <c r="I694" s="4">
        <f t="shared" si="3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9">
        <f>(((L694/60)/60)/24)+DATE(1970,1,1)</f>
        <v>43655.208333333328</v>
      </c>
      <c r="O694" s="9">
        <f t="shared" si="32"/>
        <v>43673.208333333328</v>
      </c>
      <c r="P694" t="b">
        <v>0</v>
      </c>
      <c r="Q694" t="b">
        <v>0</v>
      </c>
      <c r="R694" t="s">
        <v>23</v>
      </c>
      <c r="S694" t="s">
        <v>2035</v>
      </c>
      <c r="T694" t="s">
        <v>2036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>
        <f t="shared" si="30"/>
        <v>64</v>
      </c>
      <c r="G695" t="s">
        <v>14</v>
      </c>
      <c r="H695">
        <v>1748</v>
      </c>
      <c r="I695" s="4">
        <f t="shared" si="3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9">
        <f>(((L695/60)/60)/24)+DATE(1970,1,1)</f>
        <v>43025.208333333328</v>
      </c>
      <c r="O695" s="9">
        <f t="shared" si="32"/>
        <v>43042.208333333328</v>
      </c>
      <c r="P695" t="b">
        <v>0</v>
      </c>
      <c r="Q695" t="b">
        <v>0</v>
      </c>
      <c r="R695" t="s">
        <v>33</v>
      </c>
      <c r="S695" t="s">
        <v>2039</v>
      </c>
      <c r="T695" t="s">
        <v>2040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>
        <f t="shared" si="30"/>
        <v>84</v>
      </c>
      <c r="G696" t="s">
        <v>14</v>
      </c>
      <c r="H696">
        <v>79</v>
      </c>
      <c r="I696" s="4">
        <f t="shared" si="3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9">
        <f>(((L696/60)/60)/24)+DATE(1970,1,1)</f>
        <v>43066.25</v>
      </c>
      <c r="O696" s="9">
        <f t="shared" si="32"/>
        <v>43103.25</v>
      </c>
      <c r="P696" t="b">
        <v>0</v>
      </c>
      <c r="Q696" t="b">
        <v>0</v>
      </c>
      <c r="R696" t="s">
        <v>33</v>
      </c>
      <c r="S696" t="s">
        <v>2039</v>
      </c>
      <c r="T696" t="s">
        <v>2040</v>
      </c>
    </row>
    <row r="697" spans="1:20" ht="17" hidden="1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>
        <f t="shared" si="30"/>
        <v>134</v>
      </c>
      <c r="G697" t="s">
        <v>20</v>
      </c>
      <c r="H697">
        <v>196</v>
      </c>
      <c r="I697" s="4">
        <f t="shared" si="3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9">
        <f>(((L697/60)/60)/24)+DATE(1970,1,1)</f>
        <v>42322.25</v>
      </c>
      <c r="O697" s="9">
        <f t="shared" si="32"/>
        <v>42338.25</v>
      </c>
      <c r="P697" t="b">
        <v>1</v>
      </c>
      <c r="Q697" t="b">
        <v>0</v>
      </c>
      <c r="R697" t="s">
        <v>23</v>
      </c>
      <c r="S697" t="s">
        <v>2035</v>
      </c>
      <c r="T697" t="s">
        <v>2036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>
        <f t="shared" si="30"/>
        <v>59</v>
      </c>
      <c r="G698" t="s">
        <v>14</v>
      </c>
      <c r="H698">
        <v>889</v>
      </c>
      <c r="I698" s="4">
        <f t="shared" si="3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9">
        <f>(((L698/60)/60)/24)+DATE(1970,1,1)</f>
        <v>42114.208333333328</v>
      </c>
      <c r="O698" s="9">
        <f t="shared" si="32"/>
        <v>42115.208333333328</v>
      </c>
      <c r="P698" t="b">
        <v>0</v>
      </c>
      <c r="Q698" t="b">
        <v>1</v>
      </c>
      <c r="R698" t="s">
        <v>33</v>
      </c>
      <c r="S698" t="s">
        <v>2039</v>
      </c>
      <c r="T698" t="s">
        <v>2040</v>
      </c>
    </row>
    <row r="699" spans="1:20" ht="34" hidden="1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>
        <f t="shared" si="30"/>
        <v>153</v>
      </c>
      <c r="G699" t="s">
        <v>20</v>
      </c>
      <c r="H699">
        <v>7295</v>
      </c>
      <c r="I699" s="4">
        <f t="shared" si="3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9">
        <f>(((L699/60)/60)/24)+DATE(1970,1,1)</f>
        <v>43190.208333333328</v>
      </c>
      <c r="O699" s="9">
        <f t="shared" si="32"/>
        <v>43192.208333333328</v>
      </c>
      <c r="P699" t="b">
        <v>0</v>
      </c>
      <c r="Q699" t="b">
        <v>0</v>
      </c>
      <c r="R699" t="s">
        <v>50</v>
      </c>
      <c r="S699" t="s">
        <v>2035</v>
      </c>
      <c r="T699" t="s">
        <v>2043</v>
      </c>
    </row>
    <row r="700" spans="1:20" ht="17" hidden="1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>
        <f t="shared" si="30"/>
        <v>447</v>
      </c>
      <c r="G700" t="s">
        <v>20</v>
      </c>
      <c r="H700">
        <v>2893</v>
      </c>
      <c r="I700" s="4">
        <f t="shared" si="3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9">
        <f>(((L700/60)/60)/24)+DATE(1970,1,1)</f>
        <v>40871.25</v>
      </c>
      <c r="O700" s="9">
        <f t="shared" si="32"/>
        <v>40885.25</v>
      </c>
      <c r="P700" t="b">
        <v>0</v>
      </c>
      <c r="Q700" t="b">
        <v>0</v>
      </c>
      <c r="R700" t="s">
        <v>65</v>
      </c>
      <c r="S700" t="s">
        <v>2037</v>
      </c>
      <c r="T700" t="s">
        <v>2046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>
        <f t="shared" si="30"/>
        <v>84</v>
      </c>
      <c r="G701" t="s">
        <v>14</v>
      </c>
      <c r="H701">
        <v>56</v>
      </c>
      <c r="I701" s="4">
        <f t="shared" si="3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9">
        <f>(((L701/60)/60)/24)+DATE(1970,1,1)</f>
        <v>43641.208333333328</v>
      </c>
      <c r="O701" s="9">
        <f t="shared" si="32"/>
        <v>43642.208333333328</v>
      </c>
      <c r="P701" t="b">
        <v>0</v>
      </c>
      <c r="Q701" t="b">
        <v>0</v>
      </c>
      <c r="R701" t="s">
        <v>53</v>
      </c>
      <c r="S701" t="s">
        <v>2041</v>
      </c>
      <c r="T701" t="s">
        <v>2044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>
        <f t="shared" si="30"/>
        <v>3</v>
      </c>
      <c r="G702" t="s">
        <v>14</v>
      </c>
      <c r="H702">
        <v>1</v>
      </c>
      <c r="I702" s="4">
        <f t="shared" si="31"/>
        <v>3</v>
      </c>
      <c r="J702" t="s">
        <v>21</v>
      </c>
      <c r="K702" t="s">
        <v>22</v>
      </c>
      <c r="L702">
        <v>1264399200</v>
      </c>
      <c r="M702">
        <v>1265695200</v>
      </c>
      <c r="N702" s="9">
        <f>(((L702/60)/60)/24)+DATE(1970,1,1)</f>
        <v>40203.25</v>
      </c>
      <c r="O702" s="9">
        <f t="shared" si="32"/>
        <v>40218.25</v>
      </c>
      <c r="P702" t="b">
        <v>0</v>
      </c>
      <c r="Q702" t="b">
        <v>0</v>
      </c>
      <c r="R702" t="s">
        <v>65</v>
      </c>
      <c r="S702" t="s">
        <v>2037</v>
      </c>
      <c r="T702" t="s">
        <v>2046</v>
      </c>
    </row>
    <row r="703" spans="1:20" ht="34" hidden="1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>
        <f t="shared" si="30"/>
        <v>175</v>
      </c>
      <c r="G703" t="s">
        <v>20</v>
      </c>
      <c r="H703">
        <v>820</v>
      </c>
      <c r="I703" s="4">
        <f t="shared" si="3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9">
        <f>(((L703/60)/60)/24)+DATE(1970,1,1)</f>
        <v>40629.208333333336</v>
      </c>
      <c r="O703" s="9">
        <f t="shared" si="32"/>
        <v>40636.208333333336</v>
      </c>
      <c r="P703" t="b">
        <v>1</v>
      </c>
      <c r="Q703" t="b">
        <v>0</v>
      </c>
      <c r="R703" t="s">
        <v>33</v>
      </c>
      <c r="S703" t="s">
        <v>2039</v>
      </c>
      <c r="T703" t="s">
        <v>2040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>
        <f t="shared" si="30"/>
        <v>54</v>
      </c>
      <c r="G704" t="s">
        <v>14</v>
      </c>
      <c r="H704">
        <v>83</v>
      </c>
      <c r="I704" s="4">
        <f t="shared" si="3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9">
        <f>(((L704/60)/60)/24)+DATE(1970,1,1)</f>
        <v>41477.208333333336</v>
      </c>
      <c r="O704" s="9">
        <f t="shared" si="32"/>
        <v>41482.208333333336</v>
      </c>
      <c r="P704" t="b">
        <v>0</v>
      </c>
      <c r="Q704" t="b">
        <v>0</v>
      </c>
      <c r="R704" t="s">
        <v>65</v>
      </c>
      <c r="S704" t="s">
        <v>2037</v>
      </c>
      <c r="T704" t="s">
        <v>2046</v>
      </c>
    </row>
    <row r="705" spans="1:20" ht="17" hidden="1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>
        <f t="shared" si="30"/>
        <v>312</v>
      </c>
      <c r="G705" t="s">
        <v>20</v>
      </c>
      <c r="H705">
        <v>2038</v>
      </c>
      <c r="I705" s="4">
        <f t="shared" si="3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9">
        <f>(((L705/60)/60)/24)+DATE(1970,1,1)</f>
        <v>41020.208333333336</v>
      </c>
      <c r="O705" s="9">
        <f t="shared" si="32"/>
        <v>41037.208333333336</v>
      </c>
      <c r="P705" t="b">
        <v>1</v>
      </c>
      <c r="Q705" t="b">
        <v>1</v>
      </c>
      <c r="R705" t="s">
        <v>206</v>
      </c>
      <c r="S705" t="s">
        <v>2047</v>
      </c>
      <c r="T705" t="s">
        <v>2059</v>
      </c>
    </row>
    <row r="706" spans="1:20" ht="34" hidden="1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>
        <f t="shared" si="30"/>
        <v>123</v>
      </c>
      <c r="G706" t="s">
        <v>20</v>
      </c>
      <c r="H706">
        <v>116</v>
      </c>
      <c r="I706" s="4">
        <f t="shared" si="3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9">
        <f>(((L706/60)/60)/24)+DATE(1970,1,1)</f>
        <v>42555.208333333328</v>
      </c>
      <c r="O706" s="9">
        <f t="shared" si="32"/>
        <v>42570.208333333328</v>
      </c>
      <c r="P706" t="b">
        <v>0</v>
      </c>
      <c r="Q706" t="b">
        <v>0</v>
      </c>
      <c r="R706" t="s">
        <v>71</v>
      </c>
      <c r="S706" t="s">
        <v>2041</v>
      </c>
      <c r="T706" t="s">
        <v>2049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>
        <f t="shared" ref="F707:F770" si="33">ROUND(E707/D707*100,0)</f>
        <v>99</v>
      </c>
      <c r="G707" t="s">
        <v>14</v>
      </c>
      <c r="H707">
        <v>2025</v>
      </c>
      <c r="I707" s="4">
        <f t="shared" ref="I707:I770" si="34">AVERAGE(E707/H707)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9">
        <f>(((L707/60)/60)/24)+DATE(1970,1,1)</f>
        <v>41619.25</v>
      </c>
      <c r="O707" s="9">
        <f t="shared" ref="O707:O770" si="35">(((M707/60)/60)/24)+DATE(1970,1,1)</f>
        <v>41623.25</v>
      </c>
      <c r="P707" t="b">
        <v>0</v>
      </c>
      <c r="Q707" t="b">
        <v>0</v>
      </c>
      <c r="R707" t="s">
        <v>68</v>
      </c>
      <c r="S707" t="s">
        <v>2047</v>
      </c>
      <c r="T707" t="s">
        <v>2048</v>
      </c>
    </row>
    <row r="708" spans="1:20" ht="34" hidden="1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>
        <f t="shared" si="33"/>
        <v>128</v>
      </c>
      <c r="G708" t="s">
        <v>20</v>
      </c>
      <c r="H708">
        <v>1345</v>
      </c>
      <c r="I708" s="4">
        <f t="shared" si="34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9">
        <f>(((L708/60)/60)/24)+DATE(1970,1,1)</f>
        <v>43471.25</v>
      </c>
      <c r="O708" s="9">
        <f t="shared" si="35"/>
        <v>43479.25</v>
      </c>
      <c r="P708" t="b">
        <v>0</v>
      </c>
      <c r="Q708" t="b">
        <v>1</v>
      </c>
      <c r="R708" t="s">
        <v>28</v>
      </c>
      <c r="S708" t="s">
        <v>2037</v>
      </c>
      <c r="T708" t="s">
        <v>2038</v>
      </c>
    </row>
    <row r="709" spans="1:20" ht="34" hidden="1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>
        <f t="shared" si="33"/>
        <v>159</v>
      </c>
      <c r="G709" t="s">
        <v>20</v>
      </c>
      <c r="H709">
        <v>168</v>
      </c>
      <c r="I709" s="4">
        <f t="shared" si="34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9">
        <f>(((L709/60)/60)/24)+DATE(1970,1,1)</f>
        <v>43442.25</v>
      </c>
      <c r="O709" s="9">
        <f t="shared" si="35"/>
        <v>43478.25</v>
      </c>
      <c r="P709" t="b">
        <v>0</v>
      </c>
      <c r="Q709" t="b">
        <v>0</v>
      </c>
      <c r="R709" t="s">
        <v>53</v>
      </c>
      <c r="S709" t="s">
        <v>2041</v>
      </c>
      <c r="T709" t="s">
        <v>2044</v>
      </c>
    </row>
    <row r="710" spans="1:20" ht="17" hidden="1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>
        <f t="shared" si="33"/>
        <v>707</v>
      </c>
      <c r="G710" t="s">
        <v>20</v>
      </c>
      <c r="H710">
        <v>137</v>
      </c>
      <c r="I710" s="4">
        <f t="shared" si="34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9">
        <f>(((L710/60)/60)/24)+DATE(1970,1,1)</f>
        <v>42877.208333333328</v>
      </c>
      <c r="O710" s="9">
        <f t="shared" si="35"/>
        <v>42887.208333333328</v>
      </c>
      <c r="P710" t="b">
        <v>0</v>
      </c>
      <c r="Q710" t="b">
        <v>0</v>
      </c>
      <c r="R710" t="s">
        <v>33</v>
      </c>
      <c r="S710" t="s">
        <v>2039</v>
      </c>
      <c r="T710" t="s">
        <v>2040</v>
      </c>
    </row>
    <row r="711" spans="1:20" ht="17" hidden="1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>
        <f t="shared" si="33"/>
        <v>142</v>
      </c>
      <c r="G711" t="s">
        <v>20</v>
      </c>
      <c r="H711">
        <v>186</v>
      </c>
      <c r="I711" s="4">
        <f t="shared" si="34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9">
        <f>(((L711/60)/60)/24)+DATE(1970,1,1)</f>
        <v>41018.208333333336</v>
      </c>
      <c r="O711" s="9">
        <f t="shared" si="35"/>
        <v>41025.208333333336</v>
      </c>
      <c r="P711" t="b">
        <v>0</v>
      </c>
      <c r="Q711" t="b">
        <v>0</v>
      </c>
      <c r="R711" t="s">
        <v>33</v>
      </c>
      <c r="S711" t="s">
        <v>2039</v>
      </c>
      <c r="T711" t="s">
        <v>2040</v>
      </c>
    </row>
    <row r="712" spans="1:20" ht="34" hidden="1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>
        <f t="shared" si="33"/>
        <v>148</v>
      </c>
      <c r="G712" t="s">
        <v>20</v>
      </c>
      <c r="H712">
        <v>125</v>
      </c>
      <c r="I712" s="4">
        <f t="shared" si="34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9">
        <f>(((L712/60)/60)/24)+DATE(1970,1,1)</f>
        <v>43295.208333333328</v>
      </c>
      <c r="O712" s="9">
        <f t="shared" si="35"/>
        <v>43302.208333333328</v>
      </c>
      <c r="P712" t="b">
        <v>0</v>
      </c>
      <c r="Q712" t="b">
        <v>1</v>
      </c>
      <c r="R712" t="s">
        <v>33</v>
      </c>
      <c r="S712" t="s">
        <v>2039</v>
      </c>
      <c r="T712" t="s">
        <v>2040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>
        <f t="shared" si="33"/>
        <v>20</v>
      </c>
      <c r="G713" t="s">
        <v>14</v>
      </c>
      <c r="H713">
        <v>14</v>
      </c>
      <c r="I713" s="4">
        <f t="shared" si="34"/>
        <v>90</v>
      </c>
      <c r="J713" t="s">
        <v>107</v>
      </c>
      <c r="K713" t="s">
        <v>108</v>
      </c>
      <c r="L713">
        <v>1453615200</v>
      </c>
      <c r="M713">
        <v>1453788000</v>
      </c>
      <c r="N713" s="9">
        <f>(((L713/60)/60)/24)+DATE(1970,1,1)</f>
        <v>42393.25</v>
      </c>
      <c r="O713" s="9">
        <f t="shared" si="35"/>
        <v>42395.25</v>
      </c>
      <c r="P713" t="b">
        <v>1</v>
      </c>
      <c r="Q713" t="b">
        <v>1</v>
      </c>
      <c r="R713" t="s">
        <v>33</v>
      </c>
      <c r="S713" t="s">
        <v>2039</v>
      </c>
      <c r="T713" t="s">
        <v>2040</v>
      </c>
    </row>
    <row r="714" spans="1:20" ht="34" hidden="1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>
        <f t="shared" si="33"/>
        <v>1841</v>
      </c>
      <c r="G714" t="s">
        <v>20</v>
      </c>
      <c r="H714">
        <v>202</v>
      </c>
      <c r="I714" s="4">
        <f t="shared" si="34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9">
        <f>(((L714/60)/60)/24)+DATE(1970,1,1)</f>
        <v>42559.208333333328</v>
      </c>
      <c r="O714" s="9">
        <f t="shared" si="35"/>
        <v>42600.208333333328</v>
      </c>
      <c r="P714" t="b">
        <v>0</v>
      </c>
      <c r="Q714" t="b">
        <v>0</v>
      </c>
      <c r="R714" t="s">
        <v>33</v>
      </c>
      <c r="S714" t="s">
        <v>2039</v>
      </c>
      <c r="T714" t="s">
        <v>2040</v>
      </c>
    </row>
    <row r="715" spans="1:20" ht="17" hidden="1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>
        <f t="shared" si="33"/>
        <v>162</v>
      </c>
      <c r="G715" t="s">
        <v>20</v>
      </c>
      <c r="H715">
        <v>103</v>
      </c>
      <c r="I715" s="4">
        <f t="shared" si="34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9">
        <f>(((L715/60)/60)/24)+DATE(1970,1,1)</f>
        <v>42604.208333333328</v>
      </c>
      <c r="O715" s="9">
        <f t="shared" si="35"/>
        <v>42616.208333333328</v>
      </c>
      <c r="P715" t="b">
        <v>0</v>
      </c>
      <c r="Q715" t="b">
        <v>0</v>
      </c>
      <c r="R715" t="s">
        <v>133</v>
      </c>
      <c r="S715" t="s">
        <v>2047</v>
      </c>
      <c r="T715" t="s">
        <v>2056</v>
      </c>
    </row>
    <row r="716" spans="1:20" ht="17" hidden="1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>
        <f t="shared" si="33"/>
        <v>473</v>
      </c>
      <c r="G716" t="s">
        <v>20</v>
      </c>
      <c r="H716">
        <v>1785</v>
      </c>
      <c r="I716" s="4">
        <f t="shared" si="34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9">
        <f>(((L716/60)/60)/24)+DATE(1970,1,1)</f>
        <v>41870.208333333336</v>
      </c>
      <c r="O716" s="9">
        <f t="shared" si="35"/>
        <v>41871.208333333336</v>
      </c>
      <c r="P716" t="b">
        <v>0</v>
      </c>
      <c r="Q716" t="b">
        <v>0</v>
      </c>
      <c r="R716" t="s">
        <v>23</v>
      </c>
      <c r="S716" t="s">
        <v>2035</v>
      </c>
      <c r="T716" t="s">
        <v>2036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>
        <f t="shared" si="33"/>
        <v>24</v>
      </c>
      <c r="G717" t="s">
        <v>14</v>
      </c>
      <c r="H717">
        <v>656</v>
      </c>
      <c r="I717" s="4">
        <f t="shared" si="34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9">
        <f>(((L717/60)/60)/24)+DATE(1970,1,1)</f>
        <v>40397.208333333336</v>
      </c>
      <c r="O717" s="9">
        <f t="shared" si="35"/>
        <v>40402.208333333336</v>
      </c>
      <c r="P717" t="b">
        <v>0</v>
      </c>
      <c r="Q717" t="b">
        <v>0</v>
      </c>
      <c r="R717" t="s">
        <v>292</v>
      </c>
      <c r="S717" t="s">
        <v>2050</v>
      </c>
      <c r="T717" t="s">
        <v>2061</v>
      </c>
    </row>
    <row r="718" spans="1:20" ht="17" hidden="1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>
        <f t="shared" si="33"/>
        <v>518</v>
      </c>
      <c r="G718" t="s">
        <v>20</v>
      </c>
      <c r="H718">
        <v>157</v>
      </c>
      <c r="I718" s="4">
        <f t="shared" si="34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9">
        <f>(((L718/60)/60)/24)+DATE(1970,1,1)</f>
        <v>41465.208333333336</v>
      </c>
      <c r="O718" s="9">
        <f t="shared" si="35"/>
        <v>41493.208333333336</v>
      </c>
      <c r="P718" t="b">
        <v>0</v>
      </c>
      <c r="Q718" t="b">
        <v>1</v>
      </c>
      <c r="R718" t="s">
        <v>33</v>
      </c>
      <c r="S718" t="s">
        <v>2039</v>
      </c>
      <c r="T718" t="s">
        <v>2040</v>
      </c>
    </row>
    <row r="719" spans="1:20" ht="34" hidden="1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>
        <f t="shared" si="33"/>
        <v>248</v>
      </c>
      <c r="G719" t="s">
        <v>20</v>
      </c>
      <c r="H719">
        <v>555</v>
      </c>
      <c r="I719" s="4">
        <f t="shared" si="34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9">
        <f>(((L719/60)/60)/24)+DATE(1970,1,1)</f>
        <v>40777.208333333336</v>
      </c>
      <c r="O719" s="9">
        <f t="shared" si="35"/>
        <v>40798.208333333336</v>
      </c>
      <c r="P719" t="b">
        <v>0</v>
      </c>
      <c r="Q719" t="b">
        <v>0</v>
      </c>
      <c r="R719" t="s">
        <v>42</v>
      </c>
      <c r="S719" t="s">
        <v>2041</v>
      </c>
      <c r="T719" t="s">
        <v>2042</v>
      </c>
    </row>
    <row r="720" spans="1:20" ht="17" hidden="1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>
        <f t="shared" si="33"/>
        <v>100</v>
      </c>
      <c r="G720" t="s">
        <v>20</v>
      </c>
      <c r="H720">
        <v>297</v>
      </c>
      <c r="I720" s="4">
        <f t="shared" si="34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9">
        <f>(((L720/60)/60)/24)+DATE(1970,1,1)</f>
        <v>41442.208333333336</v>
      </c>
      <c r="O720" s="9">
        <f t="shared" si="35"/>
        <v>41468.208333333336</v>
      </c>
      <c r="P720" t="b">
        <v>0</v>
      </c>
      <c r="Q720" t="b">
        <v>0</v>
      </c>
      <c r="R720" t="s">
        <v>65</v>
      </c>
      <c r="S720" t="s">
        <v>2037</v>
      </c>
      <c r="T720" t="s">
        <v>2046</v>
      </c>
    </row>
    <row r="721" spans="1:20" ht="17" hidden="1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>
        <f t="shared" si="33"/>
        <v>153</v>
      </c>
      <c r="G721" t="s">
        <v>20</v>
      </c>
      <c r="H721">
        <v>123</v>
      </c>
      <c r="I721" s="4">
        <f t="shared" si="34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9">
        <f>(((L721/60)/60)/24)+DATE(1970,1,1)</f>
        <v>41058.208333333336</v>
      </c>
      <c r="O721" s="9">
        <f t="shared" si="35"/>
        <v>41069.208333333336</v>
      </c>
      <c r="P721" t="b">
        <v>0</v>
      </c>
      <c r="Q721" t="b">
        <v>0</v>
      </c>
      <c r="R721" t="s">
        <v>119</v>
      </c>
      <c r="S721" t="s">
        <v>2047</v>
      </c>
      <c r="T721" t="s">
        <v>2053</v>
      </c>
    </row>
    <row r="722" spans="1:20" ht="34" hidden="1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>
        <f t="shared" si="33"/>
        <v>37</v>
      </c>
      <c r="G722" t="s">
        <v>74</v>
      </c>
      <c r="H722">
        <v>38</v>
      </c>
      <c r="I722" s="4">
        <f t="shared" si="34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9">
        <f>(((L722/60)/60)/24)+DATE(1970,1,1)</f>
        <v>43152.25</v>
      </c>
      <c r="O722" s="9">
        <f t="shared" si="35"/>
        <v>43166.25</v>
      </c>
      <c r="P722" t="b">
        <v>0</v>
      </c>
      <c r="Q722" t="b">
        <v>1</v>
      </c>
      <c r="R722" t="s">
        <v>33</v>
      </c>
      <c r="S722" t="s">
        <v>2039</v>
      </c>
      <c r="T722" t="s">
        <v>2040</v>
      </c>
    </row>
    <row r="723" spans="1:20" ht="17" hidden="1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>
        <f t="shared" si="33"/>
        <v>4</v>
      </c>
      <c r="G723" t="s">
        <v>74</v>
      </c>
      <c r="H723">
        <v>60</v>
      </c>
      <c r="I723" s="4">
        <f t="shared" si="34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9">
        <f>(((L723/60)/60)/24)+DATE(1970,1,1)</f>
        <v>43194.208333333328</v>
      </c>
      <c r="O723" s="9">
        <f t="shared" si="35"/>
        <v>43200.208333333328</v>
      </c>
      <c r="P723" t="b">
        <v>0</v>
      </c>
      <c r="Q723" t="b">
        <v>0</v>
      </c>
      <c r="R723" t="s">
        <v>23</v>
      </c>
      <c r="S723" t="s">
        <v>2035</v>
      </c>
      <c r="T723" t="s">
        <v>2036</v>
      </c>
    </row>
    <row r="724" spans="1:20" ht="17" hidden="1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>
        <f t="shared" si="33"/>
        <v>157</v>
      </c>
      <c r="G724" t="s">
        <v>20</v>
      </c>
      <c r="H724">
        <v>3036</v>
      </c>
      <c r="I724" s="4">
        <f t="shared" si="34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9">
        <f>(((L724/60)/60)/24)+DATE(1970,1,1)</f>
        <v>43045.25</v>
      </c>
      <c r="O724" s="9">
        <f t="shared" si="35"/>
        <v>43072.25</v>
      </c>
      <c r="P724" t="b">
        <v>0</v>
      </c>
      <c r="Q724" t="b">
        <v>0</v>
      </c>
      <c r="R724" t="s">
        <v>42</v>
      </c>
      <c r="S724" t="s">
        <v>2041</v>
      </c>
      <c r="T724" t="s">
        <v>2042</v>
      </c>
    </row>
    <row r="725" spans="1:20" ht="17" hidden="1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>
        <f t="shared" si="33"/>
        <v>270</v>
      </c>
      <c r="G725" t="s">
        <v>20</v>
      </c>
      <c r="H725">
        <v>144</v>
      </c>
      <c r="I725" s="4">
        <f t="shared" si="34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9">
        <f>(((L725/60)/60)/24)+DATE(1970,1,1)</f>
        <v>42431.25</v>
      </c>
      <c r="O725" s="9">
        <f t="shared" si="35"/>
        <v>42452.208333333328</v>
      </c>
      <c r="P725" t="b">
        <v>0</v>
      </c>
      <c r="Q725" t="b">
        <v>0</v>
      </c>
      <c r="R725" t="s">
        <v>33</v>
      </c>
      <c r="S725" t="s">
        <v>2039</v>
      </c>
      <c r="T725" t="s">
        <v>2040</v>
      </c>
    </row>
    <row r="726" spans="1:20" ht="34" hidden="1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>
        <f t="shared" si="33"/>
        <v>134</v>
      </c>
      <c r="G726" t="s">
        <v>20</v>
      </c>
      <c r="H726">
        <v>121</v>
      </c>
      <c r="I726" s="4">
        <f t="shared" si="34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9">
        <f>(((L726/60)/60)/24)+DATE(1970,1,1)</f>
        <v>41934.208333333336</v>
      </c>
      <c r="O726" s="9">
        <f t="shared" si="35"/>
        <v>41936.208333333336</v>
      </c>
      <c r="P726" t="b">
        <v>0</v>
      </c>
      <c r="Q726" t="b">
        <v>1</v>
      </c>
      <c r="R726" t="s">
        <v>33</v>
      </c>
      <c r="S726" t="s">
        <v>2039</v>
      </c>
      <c r="T726" t="s">
        <v>2040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>
        <f t="shared" si="33"/>
        <v>50</v>
      </c>
      <c r="G727" t="s">
        <v>14</v>
      </c>
      <c r="H727">
        <v>1596</v>
      </c>
      <c r="I727" s="4">
        <f t="shared" si="34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9">
        <f>(((L727/60)/60)/24)+DATE(1970,1,1)</f>
        <v>41958.25</v>
      </c>
      <c r="O727" s="9">
        <f t="shared" si="35"/>
        <v>41960.25</v>
      </c>
      <c r="P727" t="b">
        <v>0</v>
      </c>
      <c r="Q727" t="b">
        <v>0</v>
      </c>
      <c r="R727" t="s">
        <v>292</v>
      </c>
      <c r="S727" t="s">
        <v>2050</v>
      </c>
      <c r="T727" t="s">
        <v>2061</v>
      </c>
    </row>
    <row r="728" spans="1:20" ht="17" hidden="1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>
        <f t="shared" si="33"/>
        <v>89</v>
      </c>
      <c r="G728" t="s">
        <v>74</v>
      </c>
      <c r="H728">
        <v>524</v>
      </c>
      <c r="I728" s="4">
        <f t="shared" si="34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9">
        <f>(((L728/60)/60)/24)+DATE(1970,1,1)</f>
        <v>40476.208333333336</v>
      </c>
      <c r="O728" s="9">
        <f t="shared" si="35"/>
        <v>40482.208333333336</v>
      </c>
      <c r="P728" t="b">
        <v>0</v>
      </c>
      <c r="Q728" t="b">
        <v>1</v>
      </c>
      <c r="R728" t="s">
        <v>33</v>
      </c>
      <c r="S728" t="s">
        <v>2039</v>
      </c>
      <c r="T728" t="s">
        <v>2040</v>
      </c>
    </row>
    <row r="729" spans="1:20" ht="17" hidden="1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>
        <f t="shared" si="33"/>
        <v>165</v>
      </c>
      <c r="G729" t="s">
        <v>20</v>
      </c>
      <c r="H729">
        <v>181</v>
      </c>
      <c r="I729" s="4">
        <f t="shared" si="34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9">
        <f>(((L729/60)/60)/24)+DATE(1970,1,1)</f>
        <v>43485.25</v>
      </c>
      <c r="O729" s="9">
        <f t="shared" si="35"/>
        <v>43543.208333333328</v>
      </c>
      <c r="P729" t="b">
        <v>0</v>
      </c>
      <c r="Q729" t="b">
        <v>0</v>
      </c>
      <c r="R729" t="s">
        <v>28</v>
      </c>
      <c r="S729" t="s">
        <v>2037</v>
      </c>
      <c r="T729" t="s">
        <v>2038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>
        <f t="shared" si="33"/>
        <v>18</v>
      </c>
      <c r="G730" t="s">
        <v>14</v>
      </c>
      <c r="H730">
        <v>10</v>
      </c>
      <c r="I730" s="4">
        <f t="shared" si="34"/>
        <v>73.5</v>
      </c>
      <c r="J730" t="s">
        <v>21</v>
      </c>
      <c r="K730" t="s">
        <v>22</v>
      </c>
      <c r="L730">
        <v>1464152400</v>
      </c>
      <c r="M730">
        <v>1465102800</v>
      </c>
      <c r="N730" s="9">
        <f>(((L730/60)/60)/24)+DATE(1970,1,1)</f>
        <v>42515.208333333328</v>
      </c>
      <c r="O730" s="9">
        <f t="shared" si="35"/>
        <v>42526.208333333328</v>
      </c>
      <c r="P730" t="b">
        <v>0</v>
      </c>
      <c r="Q730" t="b">
        <v>0</v>
      </c>
      <c r="R730" t="s">
        <v>33</v>
      </c>
      <c r="S730" t="s">
        <v>2039</v>
      </c>
      <c r="T730" t="s">
        <v>2040</v>
      </c>
    </row>
    <row r="731" spans="1:20" ht="34" hidden="1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>
        <f t="shared" si="33"/>
        <v>186</v>
      </c>
      <c r="G731" t="s">
        <v>20</v>
      </c>
      <c r="H731">
        <v>122</v>
      </c>
      <c r="I731" s="4">
        <f t="shared" si="34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9">
        <f>(((L731/60)/60)/24)+DATE(1970,1,1)</f>
        <v>41309.25</v>
      </c>
      <c r="O731" s="9">
        <f t="shared" si="35"/>
        <v>41311.25</v>
      </c>
      <c r="P731" t="b">
        <v>0</v>
      </c>
      <c r="Q731" t="b">
        <v>0</v>
      </c>
      <c r="R731" t="s">
        <v>53</v>
      </c>
      <c r="S731" t="s">
        <v>2041</v>
      </c>
      <c r="T731" t="s">
        <v>2044</v>
      </c>
    </row>
    <row r="732" spans="1:20" ht="17" hidden="1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>
        <f t="shared" si="33"/>
        <v>413</v>
      </c>
      <c r="G732" t="s">
        <v>20</v>
      </c>
      <c r="H732">
        <v>1071</v>
      </c>
      <c r="I732" s="4">
        <f t="shared" si="34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9">
        <f>(((L732/60)/60)/24)+DATE(1970,1,1)</f>
        <v>42147.208333333328</v>
      </c>
      <c r="O732" s="9">
        <f t="shared" si="35"/>
        <v>42153.208333333328</v>
      </c>
      <c r="P732" t="b">
        <v>0</v>
      </c>
      <c r="Q732" t="b">
        <v>0</v>
      </c>
      <c r="R732" t="s">
        <v>65</v>
      </c>
      <c r="S732" t="s">
        <v>2037</v>
      </c>
      <c r="T732" t="s">
        <v>2046</v>
      </c>
    </row>
    <row r="733" spans="1:20" ht="17" hidden="1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>
        <f t="shared" si="33"/>
        <v>90</v>
      </c>
      <c r="G733" t="s">
        <v>74</v>
      </c>
      <c r="H733">
        <v>219</v>
      </c>
      <c r="I733" s="4">
        <f t="shared" si="34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9">
        <f>(((L733/60)/60)/24)+DATE(1970,1,1)</f>
        <v>42939.208333333328</v>
      </c>
      <c r="O733" s="9">
        <f t="shared" si="35"/>
        <v>42940.208333333328</v>
      </c>
      <c r="P733" t="b">
        <v>0</v>
      </c>
      <c r="Q733" t="b">
        <v>0</v>
      </c>
      <c r="R733" t="s">
        <v>28</v>
      </c>
      <c r="S733" t="s">
        <v>2037</v>
      </c>
      <c r="T733" t="s">
        <v>2038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>
        <f t="shared" si="33"/>
        <v>92</v>
      </c>
      <c r="G734" t="s">
        <v>14</v>
      </c>
      <c r="H734">
        <v>1121</v>
      </c>
      <c r="I734" s="4">
        <f t="shared" si="34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9">
        <f>(((L734/60)/60)/24)+DATE(1970,1,1)</f>
        <v>42816.208333333328</v>
      </c>
      <c r="O734" s="9">
        <f t="shared" si="35"/>
        <v>42839.208333333328</v>
      </c>
      <c r="P734" t="b">
        <v>0</v>
      </c>
      <c r="Q734" t="b">
        <v>1</v>
      </c>
      <c r="R734" t="s">
        <v>23</v>
      </c>
      <c r="S734" t="s">
        <v>2035</v>
      </c>
      <c r="T734" t="s">
        <v>2036</v>
      </c>
    </row>
    <row r="735" spans="1:20" ht="17" hidden="1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>
        <f t="shared" si="33"/>
        <v>527</v>
      </c>
      <c r="G735" t="s">
        <v>20</v>
      </c>
      <c r="H735">
        <v>980</v>
      </c>
      <c r="I735" s="4">
        <f t="shared" si="34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9">
        <f>(((L735/60)/60)/24)+DATE(1970,1,1)</f>
        <v>41844.208333333336</v>
      </c>
      <c r="O735" s="9">
        <f t="shared" si="35"/>
        <v>41857.208333333336</v>
      </c>
      <c r="P735" t="b">
        <v>0</v>
      </c>
      <c r="Q735" t="b">
        <v>0</v>
      </c>
      <c r="R735" t="s">
        <v>148</v>
      </c>
      <c r="S735" t="s">
        <v>2035</v>
      </c>
      <c r="T735" t="s">
        <v>2057</v>
      </c>
    </row>
    <row r="736" spans="1:20" ht="17" hidden="1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>
        <f t="shared" si="33"/>
        <v>319</v>
      </c>
      <c r="G736" t="s">
        <v>20</v>
      </c>
      <c r="H736">
        <v>536</v>
      </c>
      <c r="I736" s="4">
        <f t="shared" si="34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9">
        <f>(((L736/60)/60)/24)+DATE(1970,1,1)</f>
        <v>42763.25</v>
      </c>
      <c r="O736" s="9">
        <f t="shared" si="35"/>
        <v>42775.25</v>
      </c>
      <c r="P736" t="b">
        <v>0</v>
      </c>
      <c r="Q736" t="b">
        <v>1</v>
      </c>
      <c r="R736" t="s">
        <v>33</v>
      </c>
      <c r="S736" t="s">
        <v>2039</v>
      </c>
      <c r="T736" t="s">
        <v>2040</v>
      </c>
    </row>
    <row r="737" spans="1:20" ht="34" hidden="1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>
        <f t="shared" si="33"/>
        <v>354</v>
      </c>
      <c r="G737" t="s">
        <v>20</v>
      </c>
      <c r="H737">
        <v>1991</v>
      </c>
      <c r="I737" s="4">
        <f t="shared" si="34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9">
        <f>(((L737/60)/60)/24)+DATE(1970,1,1)</f>
        <v>42459.208333333328</v>
      </c>
      <c r="O737" s="9">
        <f t="shared" si="35"/>
        <v>42466.208333333328</v>
      </c>
      <c r="P737" t="b">
        <v>0</v>
      </c>
      <c r="Q737" t="b">
        <v>0</v>
      </c>
      <c r="R737" t="s">
        <v>122</v>
      </c>
      <c r="S737" t="s">
        <v>2054</v>
      </c>
      <c r="T737" t="s">
        <v>2055</v>
      </c>
    </row>
    <row r="738" spans="1:20" ht="17" hidden="1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>
        <f t="shared" si="33"/>
        <v>33</v>
      </c>
      <c r="G738" t="s">
        <v>74</v>
      </c>
      <c r="H738">
        <v>29</v>
      </c>
      <c r="I738" s="4">
        <f t="shared" si="34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9">
        <f>(((L738/60)/60)/24)+DATE(1970,1,1)</f>
        <v>42055.25</v>
      </c>
      <c r="O738" s="9">
        <f t="shared" si="35"/>
        <v>42059.25</v>
      </c>
      <c r="P738" t="b">
        <v>0</v>
      </c>
      <c r="Q738" t="b">
        <v>0</v>
      </c>
      <c r="R738" t="s">
        <v>68</v>
      </c>
      <c r="S738" t="s">
        <v>2047</v>
      </c>
      <c r="T738" t="s">
        <v>2048</v>
      </c>
    </row>
    <row r="739" spans="1:20" ht="34" hidden="1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>
        <f t="shared" si="33"/>
        <v>136</v>
      </c>
      <c r="G739" t="s">
        <v>20</v>
      </c>
      <c r="H739">
        <v>180</v>
      </c>
      <c r="I739" s="4">
        <f t="shared" si="34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9">
        <f>(((L739/60)/60)/24)+DATE(1970,1,1)</f>
        <v>42685.25</v>
      </c>
      <c r="O739" s="9">
        <f t="shared" si="35"/>
        <v>42697.25</v>
      </c>
      <c r="P739" t="b">
        <v>0</v>
      </c>
      <c r="Q739" t="b">
        <v>0</v>
      </c>
      <c r="R739" t="s">
        <v>60</v>
      </c>
      <c r="S739" t="s">
        <v>2035</v>
      </c>
      <c r="T739" t="s">
        <v>2045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>
        <f t="shared" si="33"/>
        <v>2</v>
      </c>
      <c r="G740" t="s">
        <v>14</v>
      </c>
      <c r="H740">
        <v>15</v>
      </c>
      <c r="I740" s="4">
        <f t="shared" si="34"/>
        <v>103.8</v>
      </c>
      <c r="J740" t="s">
        <v>21</v>
      </c>
      <c r="K740" t="s">
        <v>22</v>
      </c>
      <c r="L740">
        <v>1416117600</v>
      </c>
      <c r="M740">
        <v>1418018400</v>
      </c>
      <c r="N740" s="9">
        <f>(((L740/60)/60)/24)+DATE(1970,1,1)</f>
        <v>41959.25</v>
      </c>
      <c r="O740" s="9">
        <f t="shared" si="35"/>
        <v>41981.25</v>
      </c>
      <c r="P740" t="b">
        <v>0</v>
      </c>
      <c r="Q740" t="b">
        <v>1</v>
      </c>
      <c r="R740" t="s">
        <v>33</v>
      </c>
      <c r="S740" t="s">
        <v>2039</v>
      </c>
      <c r="T740" t="s">
        <v>2040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>
        <f t="shared" si="33"/>
        <v>61</v>
      </c>
      <c r="G741" t="s">
        <v>14</v>
      </c>
      <c r="H741">
        <v>191</v>
      </c>
      <c r="I741" s="4">
        <f t="shared" si="34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9">
        <f>(((L741/60)/60)/24)+DATE(1970,1,1)</f>
        <v>41089.208333333336</v>
      </c>
      <c r="O741" s="9">
        <f t="shared" si="35"/>
        <v>41090.208333333336</v>
      </c>
      <c r="P741" t="b">
        <v>0</v>
      </c>
      <c r="Q741" t="b">
        <v>0</v>
      </c>
      <c r="R741" t="s">
        <v>60</v>
      </c>
      <c r="S741" t="s">
        <v>2035</v>
      </c>
      <c r="T741" t="s">
        <v>2045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>
        <f t="shared" si="33"/>
        <v>30</v>
      </c>
      <c r="G742" t="s">
        <v>14</v>
      </c>
      <c r="H742">
        <v>16</v>
      </c>
      <c r="I742" s="4">
        <f t="shared" si="34"/>
        <v>99.5</v>
      </c>
      <c r="J742" t="s">
        <v>21</v>
      </c>
      <c r="K742" t="s">
        <v>22</v>
      </c>
      <c r="L742">
        <v>1486101600</v>
      </c>
      <c r="M742">
        <v>1486360800</v>
      </c>
      <c r="N742" s="9">
        <f>(((L742/60)/60)/24)+DATE(1970,1,1)</f>
        <v>42769.25</v>
      </c>
      <c r="O742" s="9">
        <f t="shared" si="35"/>
        <v>42772.25</v>
      </c>
      <c r="P742" t="b">
        <v>0</v>
      </c>
      <c r="Q742" t="b">
        <v>0</v>
      </c>
      <c r="R742" t="s">
        <v>33</v>
      </c>
      <c r="S742" t="s">
        <v>2039</v>
      </c>
      <c r="T742" t="s">
        <v>2040</v>
      </c>
    </row>
    <row r="743" spans="1:20" ht="17" hidden="1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>
        <f t="shared" si="33"/>
        <v>1179</v>
      </c>
      <c r="G743" t="s">
        <v>20</v>
      </c>
      <c r="H743">
        <v>130</v>
      </c>
      <c r="I743" s="4">
        <f t="shared" si="34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9">
        <f>(((L743/60)/60)/24)+DATE(1970,1,1)</f>
        <v>40321.208333333336</v>
      </c>
      <c r="O743" s="9">
        <f t="shared" si="35"/>
        <v>40322.208333333336</v>
      </c>
      <c r="P743" t="b">
        <v>0</v>
      </c>
      <c r="Q743" t="b">
        <v>0</v>
      </c>
      <c r="R743" t="s">
        <v>33</v>
      </c>
      <c r="S743" t="s">
        <v>2039</v>
      </c>
      <c r="T743" t="s">
        <v>2040</v>
      </c>
    </row>
    <row r="744" spans="1:20" ht="17" hidden="1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>
        <f t="shared" si="33"/>
        <v>1126</v>
      </c>
      <c r="G744" t="s">
        <v>20</v>
      </c>
      <c r="H744">
        <v>122</v>
      </c>
      <c r="I744" s="4">
        <f t="shared" si="34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9">
        <f>(((L744/60)/60)/24)+DATE(1970,1,1)</f>
        <v>40197.25</v>
      </c>
      <c r="O744" s="9">
        <f t="shared" si="35"/>
        <v>40239.25</v>
      </c>
      <c r="P744" t="b">
        <v>0</v>
      </c>
      <c r="Q744" t="b">
        <v>0</v>
      </c>
      <c r="R744" t="s">
        <v>50</v>
      </c>
      <c r="S744" t="s">
        <v>2035</v>
      </c>
      <c r="T744" t="s">
        <v>2043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>
        <f t="shared" si="33"/>
        <v>13</v>
      </c>
      <c r="G745" t="s">
        <v>14</v>
      </c>
      <c r="H745">
        <v>17</v>
      </c>
      <c r="I745" s="4">
        <f t="shared" si="34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9">
        <f>(((L745/60)/60)/24)+DATE(1970,1,1)</f>
        <v>42298.208333333328</v>
      </c>
      <c r="O745" s="9">
        <f t="shared" si="35"/>
        <v>42304.208333333328</v>
      </c>
      <c r="P745" t="b">
        <v>0</v>
      </c>
      <c r="Q745" t="b">
        <v>1</v>
      </c>
      <c r="R745" t="s">
        <v>33</v>
      </c>
      <c r="S745" t="s">
        <v>2039</v>
      </c>
      <c r="T745" t="s">
        <v>2040</v>
      </c>
    </row>
    <row r="746" spans="1:20" ht="17" hidden="1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>
        <f t="shared" si="33"/>
        <v>712</v>
      </c>
      <c r="G746" t="s">
        <v>20</v>
      </c>
      <c r="H746">
        <v>140</v>
      </c>
      <c r="I746" s="4">
        <f t="shared" si="34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9">
        <f>(((L746/60)/60)/24)+DATE(1970,1,1)</f>
        <v>43322.208333333328</v>
      </c>
      <c r="O746" s="9">
        <f t="shared" si="35"/>
        <v>43324.208333333328</v>
      </c>
      <c r="P746" t="b">
        <v>0</v>
      </c>
      <c r="Q746" t="b">
        <v>1</v>
      </c>
      <c r="R746" t="s">
        <v>33</v>
      </c>
      <c r="S746" t="s">
        <v>2039</v>
      </c>
      <c r="T746" t="s">
        <v>2040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>
        <f t="shared" si="33"/>
        <v>30</v>
      </c>
      <c r="G747" t="s">
        <v>14</v>
      </c>
      <c r="H747">
        <v>34</v>
      </c>
      <c r="I747" s="4">
        <f t="shared" si="34"/>
        <v>61.5</v>
      </c>
      <c r="J747" t="s">
        <v>21</v>
      </c>
      <c r="K747" t="s">
        <v>22</v>
      </c>
      <c r="L747">
        <v>1275195600</v>
      </c>
      <c r="M747">
        <v>1277528400</v>
      </c>
      <c r="N747" s="9">
        <f>(((L747/60)/60)/24)+DATE(1970,1,1)</f>
        <v>40328.208333333336</v>
      </c>
      <c r="O747" s="9">
        <f t="shared" si="35"/>
        <v>40355.208333333336</v>
      </c>
      <c r="P747" t="b">
        <v>0</v>
      </c>
      <c r="Q747" t="b">
        <v>0</v>
      </c>
      <c r="R747" t="s">
        <v>65</v>
      </c>
      <c r="S747" t="s">
        <v>2037</v>
      </c>
      <c r="T747" t="s">
        <v>2046</v>
      </c>
    </row>
    <row r="748" spans="1:20" ht="17" hidden="1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>
        <f t="shared" si="33"/>
        <v>213</v>
      </c>
      <c r="G748" t="s">
        <v>20</v>
      </c>
      <c r="H748">
        <v>3388</v>
      </c>
      <c r="I748" s="4">
        <f t="shared" si="34"/>
        <v>35</v>
      </c>
      <c r="J748" t="s">
        <v>21</v>
      </c>
      <c r="K748" t="s">
        <v>22</v>
      </c>
      <c r="L748">
        <v>1318136400</v>
      </c>
      <c r="M748">
        <v>1318568400</v>
      </c>
      <c r="N748" s="9">
        <f>(((L748/60)/60)/24)+DATE(1970,1,1)</f>
        <v>40825.208333333336</v>
      </c>
      <c r="O748" s="9">
        <f t="shared" si="35"/>
        <v>40830.208333333336</v>
      </c>
      <c r="P748" t="b">
        <v>0</v>
      </c>
      <c r="Q748" t="b">
        <v>0</v>
      </c>
      <c r="R748" t="s">
        <v>28</v>
      </c>
      <c r="S748" t="s">
        <v>2037</v>
      </c>
      <c r="T748" t="s">
        <v>2038</v>
      </c>
    </row>
    <row r="749" spans="1:20" ht="17" hidden="1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>
        <f t="shared" si="33"/>
        <v>229</v>
      </c>
      <c r="G749" t="s">
        <v>20</v>
      </c>
      <c r="H749">
        <v>280</v>
      </c>
      <c r="I749" s="4">
        <f t="shared" si="34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9">
        <f>(((L749/60)/60)/24)+DATE(1970,1,1)</f>
        <v>40423.208333333336</v>
      </c>
      <c r="O749" s="9">
        <f t="shared" si="35"/>
        <v>40434.208333333336</v>
      </c>
      <c r="P749" t="b">
        <v>0</v>
      </c>
      <c r="Q749" t="b">
        <v>0</v>
      </c>
      <c r="R749" t="s">
        <v>33</v>
      </c>
      <c r="S749" t="s">
        <v>2039</v>
      </c>
      <c r="T749" t="s">
        <v>2040</v>
      </c>
    </row>
    <row r="750" spans="1:20" ht="17" hidden="1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>
        <f t="shared" si="33"/>
        <v>35</v>
      </c>
      <c r="G750" t="s">
        <v>74</v>
      </c>
      <c r="H750">
        <v>614</v>
      </c>
      <c r="I750" s="4">
        <f t="shared" si="34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9">
        <f>(((L750/60)/60)/24)+DATE(1970,1,1)</f>
        <v>40238.25</v>
      </c>
      <c r="O750" s="9">
        <f t="shared" si="35"/>
        <v>40263.208333333336</v>
      </c>
      <c r="P750" t="b">
        <v>0</v>
      </c>
      <c r="Q750" t="b">
        <v>1</v>
      </c>
      <c r="R750" t="s">
        <v>71</v>
      </c>
      <c r="S750" t="s">
        <v>2041</v>
      </c>
      <c r="T750" t="s">
        <v>2049</v>
      </c>
    </row>
    <row r="751" spans="1:20" ht="17" hidden="1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>
        <f t="shared" si="33"/>
        <v>157</v>
      </c>
      <c r="G751" t="s">
        <v>20</v>
      </c>
      <c r="H751">
        <v>366</v>
      </c>
      <c r="I751" s="4">
        <f t="shared" si="34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9">
        <f>(((L751/60)/60)/24)+DATE(1970,1,1)</f>
        <v>41920.208333333336</v>
      </c>
      <c r="O751" s="9">
        <f t="shared" si="35"/>
        <v>41932.208333333336</v>
      </c>
      <c r="P751" t="b">
        <v>0</v>
      </c>
      <c r="Q751" t="b">
        <v>1</v>
      </c>
      <c r="R751" t="s">
        <v>65</v>
      </c>
      <c r="S751" t="s">
        <v>2037</v>
      </c>
      <c r="T751" t="s">
        <v>2046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>
        <f t="shared" si="33"/>
        <v>1</v>
      </c>
      <c r="G752" t="s">
        <v>14</v>
      </c>
      <c r="H752">
        <v>1</v>
      </c>
      <c r="I752" s="4">
        <f t="shared" si="34"/>
        <v>1</v>
      </c>
      <c r="J752" t="s">
        <v>40</v>
      </c>
      <c r="K752" t="s">
        <v>41</v>
      </c>
      <c r="L752">
        <v>1277960400</v>
      </c>
      <c r="M752">
        <v>1280120400</v>
      </c>
      <c r="N752" s="9">
        <f>(((L752/60)/60)/24)+DATE(1970,1,1)</f>
        <v>40360.208333333336</v>
      </c>
      <c r="O752" s="9">
        <f t="shared" si="35"/>
        <v>40385.208333333336</v>
      </c>
      <c r="P752" t="b">
        <v>0</v>
      </c>
      <c r="Q752" t="b">
        <v>0</v>
      </c>
      <c r="R752" t="s">
        <v>50</v>
      </c>
      <c r="S752" t="s">
        <v>2035</v>
      </c>
      <c r="T752" t="s">
        <v>2043</v>
      </c>
    </row>
    <row r="753" spans="1:20" ht="17" hidden="1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>
        <f t="shared" si="33"/>
        <v>232</v>
      </c>
      <c r="G753" t="s">
        <v>20</v>
      </c>
      <c r="H753">
        <v>270</v>
      </c>
      <c r="I753" s="4">
        <f t="shared" si="34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9">
        <f>(((L753/60)/60)/24)+DATE(1970,1,1)</f>
        <v>42446.208333333328</v>
      </c>
      <c r="O753" s="9">
        <f t="shared" si="35"/>
        <v>42461.208333333328</v>
      </c>
      <c r="P753" t="b">
        <v>1</v>
      </c>
      <c r="Q753" t="b">
        <v>1</v>
      </c>
      <c r="R753" t="s">
        <v>68</v>
      </c>
      <c r="S753" t="s">
        <v>2047</v>
      </c>
      <c r="T753" t="s">
        <v>2048</v>
      </c>
    </row>
    <row r="754" spans="1:20" ht="17" hidden="1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>
        <f t="shared" si="33"/>
        <v>92</v>
      </c>
      <c r="G754" t="s">
        <v>74</v>
      </c>
      <c r="H754">
        <v>114</v>
      </c>
      <c r="I754" s="4">
        <f t="shared" si="34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9">
        <f>(((L754/60)/60)/24)+DATE(1970,1,1)</f>
        <v>40395.208333333336</v>
      </c>
      <c r="O754" s="9">
        <f t="shared" si="35"/>
        <v>40413.208333333336</v>
      </c>
      <c r="P754" t="b">
        <v>0</v>
      </c>
      <c r="Q754" t="b">
        <v>1</v>
      </c>
      <c r="R754" t="s">
        <v>33</v>
      </c>
      <c r="S754" t="s">
        <v>2039</v>
      </c>
      <c r="T754" t="s">
        <v>2040</v>
      </c>
    </row>
    <row r="755" spans="1:20" ht="17" hidden="1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>
        <f t="shared" si="33"/>
        <v>257</v>
      </c>
      <c r="G755" t="s">
        <v>20</v>
      </c>
      <c r="H755">
        <v>137</v>
      </c>
      <c r="I755" s="4">
        <f t="shared" si="34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9">
        <f>(((L755/60)/60)/24)+DATE(1970,1,1)</f>
        <v>40321.208333333336</v>
      </c>
      <c r="O755" s="9">
        <f t="shared" si="35"/>
        <v>40336.208333333336</v>
      </c>
      <c r="P755" t="b">
        <v>0</v>
      </c>
      <c r="Q755" t="b">
        <v>0</v>
      </c>
      <c r="R755" t="s">
        <v>122</v>
      </c>
      <c r="S755" t="s">
        <v>2054</v>
      </c>
      <c r="T755" t="s">
        <v>2055</v>
      </c>
    </row>
    <row r="756" spans="1:20" ht="17" hidden="1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>
        <f t="shared" si="33"/>
        <v>168</v>
      </c>
      <c r="G756" t="s">
        <v>20</v>
      </c>
      <c r="H756">
        <v>3205</v>
      </c>
      <c r="I756" s="4">
        <f t="shared" si="34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9">
        <f>(((L756/60)/60)/24)+DATE(1970,1,1)</f>
        <v>41210.208333333336</v>
      </c>
      <c r="O756" s="9">
        <f t="shared" si="35"/>
        <v>41263.25</v>
      </c>
      <c r="P756" t="b">
        <v>0</v>
      </c>
      <c r="Q756" t="b">
        <v>0</v>
      </c>
      <c r="R756" t="s">
        <v>33</v>
      </c>
      <c r="S756" t="s">
        <v>2039</v>
      </c>
      <c r="T756" t="s">
        <v>2040</v>
      </c>
    </row>
    <row r="757" spans="1:20" ht="17" hidden="1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>
        <f t="shared" si="33"/>
        <v>167</v>
      </c>
      <c r="G757" t="s">
        <v>20</v>
      </c>
      <c r="H757">
        <v>288</v>
      </c>
      <c r="I757" s="4">
        <f t="shared" si="34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9">
        <f>(((L757/60)/60)/24)+DATE(1970,1,1)</f>
        <v>43096.25</v>
      </c>
      <c r="O757" s="9">
        <f t="shared" si="35"/>
        <v>43108.25</v>
      </c>
      <c r="P757" t="b">
        <v>0</v>
      </c>
      <c r="Q757" t="b">
        <v>1</v>
      </c>
      <c r="R757" t="s">
        <v>33</v>
      </c>
      <c r="S757" t="s">
        <v>2039</v>
      </c>
      <c r="T757" t="s">
        <v>2040</v>
      </c>
    </row>
    <row r="758" spans="1:20" ht="34" hidden="1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>
        <f t="shared" si="33"/>
        <v>772</v>
      </c>
      <c r="G758" t="s">
        <v>20</v>
      </c>
      <c r="H758">
        <v>148</v>
      </c>
      <c r="I758" s="4">
        <f t="shared" si="34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9">
        <f>(((L758/60)/60)/24)+DATE(1970,1,1)</f>
        <v>42024.25</v>
      </c>
      <c r="O758" s="9">
        <f t="shared" si="35"/>
        <v>42030.25</v>
      </c>
      <c r="P758" t="b">
        <v>0</v>
      </c>
      <c r="Q758" t="b">
        <v>0</v>
      </c>
      <c r="R758" t="s">
        <v>33</v>
      </c>
      <c r="S758" t="s">
        <v>2039</v>
      </c>
      <c r="T758" t="s">
        <v>2040</v>
      </c>
    </row>
    <row r="759" spans="1:20" ht="17" hidden="1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>
        <f t="shared" si="33"/>
        <v>407</v>
      </c>
      <c r="G759" t="s">
        <v>20</v>
      </c>
      <c r="H759">
        <v>114</v>
      </c>
      <c r="I759" s="4">
        <f t="shared" si="34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9">
        <f>(((L759/60)/60)/24)+DATE(1970,1,1)</f>
        <v>40675.208333333336</v>
      </c>
      <c r="O759" s="9">
        <f t="shared" si="35"/>
        <v>40679.208333333336</v>
      </c>
      <c r="P759" t="b">
        <v>0</v>
      </c>
      <c r="Q759" t="b">
        <v>0</v>
      </c>
      <c r="R759" t="s">
        <v>53</v>
      </c>
      <c r="S759" t="s">
        <v>2041</v>
      </c>
      <c r="T759" t="s">
        <v>2044</v>
      </c>
    </row>
    <row r="760" spans="1:20" ht="17" hidden="1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>
        <f t="shared" si="33"/>
        <v>564</v>
      </c>
      <c r="G760" t="s">
        <v>20</v>
      </c>
      <c r="H760">
        <v>1518</v>
      </c>
      <c r="I760" s="4">
        <f t="shared" si="34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9">
        <f>(((L760/60)/60)/24)+DATE(1970,1,1)</f>
        <v>41936.208333333336</v>
      </c>
      <c r="O760" s="9">
        <f t="shared" si="35"/>
        <v>41945.208333333336</v>
      </c>
      <c r="P760" t="b">
        <v>0</v>
      </c>
      <c r="Q760" t="b">
        <v>0</v>
      </c>
      <c r="R760" t="s">
        <v>23</v>
      </c>
      <c r="S760" t="s">
        <v>2035</v>
      </c>
      <c r="T760" t="s">
        <v>2036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>
        <f t="shared" si="33"/>
        <v>68</v>
      </c>
      <c r="G761" t="s">
        <v>14</v>
      </c>
      <c r="H761">
        <v>1274</v>
      </c>
      <c r="I761" s="4">
        <f t="shared" si="34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9">
        <f>(((L761/60)/60)/24)+DATE(1970,1,1)</f>
        <v>43136.25</v>
      </c>
      <c r="O761" s="9">
        <f t="shared" si="35"/>
        <v>43166.25</v>
      </c>
      <c r="P761" t="b">
        <v>0</v>
      </c>
      <c r="Q761" t="b">
        <v>0</v>
      </c>
      <c r="R761" t="s">
        <v>50</v>
      </c>
      <c r="S761" t="s">
        <v>2035</v>
      </c>
      <c r="T761" t="s">
        <v>2043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>
        <f t="shared" si="33"/>
        <v>34</v>
      </c>
      <c r="G762" t="s">
        <v>14</v>
      </c>
      <c r="H762">
        <v>210</v>
      </c>
      <c r="I762" s="4">
        <f t="shared" si="34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9">
        <f>(((L762/60)/60)/24)+DATE(1970,1,1)</f>
        <v>43678.208333333328</v>
      </c>
      <c r="O762" s="9">
        <f t="shared" si="35"/>
        <v>43707.208333333328</v>
      </c>
      <c r="P762" t="b">
        <v>0</v>
      </c>
      <c r="Q762" t="b">
        <v>1</v>
      </c>
      <c r="R762" t="s">
        <v>89</v>
      </c>
      <c r="S762" t="s">
        <v>2050</v>
      </c>
      <c r="T762" t="s">
        <v>2051</v>
      </c>
    </row>
    <row r="763" spans="1:20" ht="17" hidden="1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>
        <f t="shared" si="33"/>
        <v>655</v>
      </c>
      <c r="G763" t="s">
        <v>20</v>
      </c>
      <c r="H763">
        <v>166</v>
      </c>
      <c r="I763" s="4">
        <f t="shared" si="34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9">
        <f>(((L763/60)/60)/24)+DATE(1970,1,1)</f>
        <v>42938.208333333328</v>
      </c>
      <c r="O763" s="9">
        <f t="shared" si="35"/>
        <v>42943.208333333328</v>
      </c>
      <c r="P763" t="b">
        <v>0</v>
      </c>
      <c r="Q763" t="b">
        <v>0</v>
      </c>
      <c r="R763" t="s">
        <v>23</v>
      </c>
      <c r="S763" t="s">
        <v>2035</v>
      </c>
      <c r="T763" t="s">
        <v>2036</v>
      </c>
    </row>
    <row r="764" spans="1:20" ht="17" hidden="1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>
        <f t="shared" si="33"/>
        <v>177</v>
      </c>
      <c r="G764" t="s">
        <v>20</v>
      </c>
      <c r="H764">
        <v>100</v>
      </c>
      <c r="I764" s="4">
        <f t="shared" si="34"/>
        <v>62.04</v>
      </c>
      <c r="J764" t="s">
        <v>26</v>
      </c>
      <c r="K764" t="s">
        <v>27</v>
      </c>
      <c r="L764">
        <v>1354082400</v>
      </c>
      <c r="M764">
        <v>1355032800</v>
      </c>
      <c r="N764" s="9">
        <f>(((L764/60)/60)/24)+DATE(1970,1,1)</f>
        <v>41241.25</v>
      </c>
      <c r="O764" s="9">
        <f t="shared" si="35"/>
        <v>41252.25</v>
      </c>
      <c r="P764" t="b">
        <v>0</v>
      </c>
      <c r="Q764" t="b">
        <v>0</v>
      </c>
      <c r="R764" t="s">
        <v>159</v>
      </c>
      <c r="S764" t="s">
        <v>2035</v>
      </c>
      <c r="T764" t="s">
        <v>2058</v>
      </c>
    </row>
    <row r="765" spans="1:20" ht="17" hidden="1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>
        <f t="shared" si="33"/>
        <v>113</v>
      </c>
      <c r="G765" t="s">
        <v>20</v>
      </c>
      <c r="H765">
        <v>235</v>
      </c>
      <c r="I765" s="4">
        <f t="shared" si="34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9">
        <f>(((L765/60)/60)/24)+DATE(1970,1,1)</f>
        <v>41037.208333333336</v>
      </c>
      <c r="O765" s="9">
        <f t="shared" si="35"/>
        <v>41072.208333333336</v>
      </c>
      <c r="P765" t="b">
        <v>0</v>
      </c>
      <c r="Q765" t="b">
        <v>1</v>
      </c>
      <c r="R765" t="s">
        <v>33</v>
      </c>
      <c r="S765" t="s">
        <v>2039</v>
      </c>
      <c r="T765" t="s">
        <v>2040</v>
      </c>
    </row>
    <row r="766" spans="1:20" ht="34" hidden="1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>
        <f t="shared" si="33"/>
        <v>728</v>
      </c>
      <c r="G766" t="s">
        <v>20</v>
      </c>
      <c r="H766">
        <v>148</v>
      </c>
      <c r="I766" s="4">
        <f t="shared" si="34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9">
        <f>(((L766/60)/60)/24)+DATE(1970,1,1)</f>
        <v>40676.208333333336</v>
      </c>
      <c r="O766" s="9">
        <f t="shared" si="35"/>
        <v>40684.208333333336</v>
      </c>
      <c r="P766" t="b">
        <v>0</v>
      </c>
      <c r="Q766" t="b">
        <v>0</v>
      </c>
      <c r="R766" t="s">
        <v>23</v>
      </c>
      <c r="S766" t="s">
        <v>2035</v>
      </c>
      <c r="T766" t="s">
        <v>2036</v>
      </c>
    </row>
    <row r="767" spans="1:20" ht="17" hidden="1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>
        <f t="shared" si="33"/>
        <v>208</v>
      </c>
      <c r="G767" t="s">
        <v>20</v>
      </c>
      <c r="H767">
        <v>198</v>
      </c>
      <c r="I767" s="4">
        <f t="shared" si="34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9">
        <f>(((L767/60)/60)/24)+DATE(1970,1,1)</f>
        <v>42840.208333333328</v>
      </c>
      <c r="O767" s="9">
        <f t="shared" si="35"/>
        <v>42865.208333333328</v>
      </c>
      <c r="P767" t="b">
        <v>1</v>
      </c>
      <c r="Q767" t="b">
        <v>1</v>
      </c>
      <c r="R767" t="s">
        <v>60</v>
      </c>
      <c r="S767" t="s">
        <v>2035</v>
      </c>
      <c r="T767" t="s">
        <v>2045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>
        <f t="shared" si="33"/>
        <v>31</v>
      </c>
      <c r="G768" t="s">
        <v>14</v>
      </c>
      <c r="H768">
        <v>248</v>
      </c>
      <c r="I768" s="4">
        <f t="shared" si="34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9">
        <f>(((L768/60)/60)/24)+DATE(1970,1,1)</f>
        <v>43362.208333333328</v>
      </c>
      <c r="O768" s="9">
        <f t="shared" si="35"/>
        <v>43363.208333333328</v>
      </c>
      <c r="P768" t="b">
        <v>0</v>
      </c>
      <c r="Q768" t="b">
        <v>0</v>
      </c>
      <c r="R768" t="s">
        <v>474</v>
      </c>
      <c r="S768" t="s">
        <v>2041</v>
      </c>
      <c r="T768" t="s">
        <v>2063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>
        <f t="shared" si="33"/>
        <v>57</v>
      </c>
      <c r="G769" t="s">
        <v>14</v>
      </c>
      <c r="H769">
        <v>513</v>
      </c>
      <c r="I769" s="4">
        <f t="shared" si="34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9">
        <f>(((L769/60)/60)/24)+DATE(1970,1,1)</f>
        <v>42283.208333333328</v>
      </c>
      <c r="O769" s="9">
        <f t="shared" si="35"/>
        <v>42328.25</v>
      </c>
      <c r="P769" t="b">
        <v>0</v>
      </c>
      <c r="Q769" t="b">
        <v>0</v>
      </c>
      <c r="R769" t="s">
        <v>206</v>
      </c>
      <c r="S769" t="s">
        <v>2047</v>
      </c>
      <c r="T769" t="s">
        <v>2059</v>
      </c>
    </row>
    <row r="770" spans="1:20" ht="17" hidden="1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>
        <f t="shared" si="33"/>
        <v>231</v>
      </c>
      <c r="G770" t="s">
        <v>20</v>
      </c>
      <c r="H770">
        <v>150</v>
      </c>
      <c r="I770" s="4">
        <f t="shared" si="34"/>
        <v>73.92</v>
      </c>
      <c r="J770" t="s">
        <v>21</v>
      </c>
      <c r="K770" t="s">
        <v>22</v>
      </c>
      <c r="L770">
        <v>1386741600</v>
      </c>
      <c r="M770">
        <v>1388037600</v>
      </c>
      <c r="N770" s="9">
        <f>(((L770/60)/60)/24)+DATE(1970,1,1)</f>
        <v>41619.25</v>
      </c>
      <c r="O770" s="9">
        <f t="shared" si="35"/>
        <v>41634.25</v>
      </c>
      <c r="P770" t="b">
        <v>0</v>
      </c>
      <c r="Q770" t="b">
        <v>0</v>
      </c>
      <c r="R770" t="s">
        <v>33</v>
      </c>
      <c r="S770" t="s">
        <v>2039</v>
      </c>
      <c r="T770" t="s">
        <v>2040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>
        <f t="shared" ref="F771:F834" si="36">ROUND(E771/D771*100,0)</f>
        <v>87</v>
      </c>
      <c r="G771" t="s">
        <v>14</v>
      </c>
      <c r="H771">
        <v>3410</v>
      </c>
      <c r="I771" s="4">
        <f t="shared" ref="I771:I834" si="37">AVERAGE(E771/H771)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9">
        <f>(((L771/60)/60)/24)+DATE(1970,1,1)</f>
        <v>41501.208333333336</v>
      </c>
      <c r="O771" s="9">
        <f t="shared" ref="O771:O834" si="38">(((M771/60)/60)/24)+DATE(1970,1,1)</f>
        <v>41527.208333333336</v>
      </c>
      <c r="P771" t="b">
        <v>0</v>
      </c>
      <c r="Q771" t="b">
        <v>0</v>
      </c>
      <c r="R771" t="s">
        <v>89</v>
      </c>
      <c r="S771" t="s">
        <v>2050</v>
      </c>
      <c r="T771" t="s">
        <v>2051</v>
      </c>
    </row>
    <row r="772" spans="1:20" ht="17" hidden="1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>
        <f t="shared" si="36"/>
        <v>271</v>
      </c>
      <c r="G772" t="s">
        <v>20</v>
      </c>
      <c r="H772">
        <v>216</v>
      </c>
      <c r="I772" s="4">
        <f t="shared" si="37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9">
        <f>(((L772/60)/60)/24)+DATE(1970,1,1)</f>
        <v>41743.208333333336</v>
      </c>
      <c r="O772" s="9">
        <f t="shared" si="38"/>
        <v>41750.208333333336</v>
      </c>
      <c r="P772" t="b">
        <v>0</v>
      </c>
      <c r="Q772" t="b">
        <v>1</v>
      </c>
      <c r="R772" t="s">
        <v>33</v>
      </c>
      <c r="S772" t="s">
        <v>2039</v>
      </c>
      <c r="T772" t="s">
        <v>2040</v>
      </c>
    </row>
    <row r="773" spans="1:20" ht="17" hidden="1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>
        <f t="shared" si="36"/>
        <v>49</v>
      </c>
      <c r="G773" t="s">
        <v>74</v>
      </c>
      <c r="H773">
        <v>26</v>
      </c>
      <c r="I773" s="4">
        <f t="shared" si="37"/>
        <v>106.5</v>
      </c>
      <c r="J773" t="s">
        <v>21</v>
      </c>
      <c r="K773" t="s">
        <v>22</v>
      </c>
      <c r="L773">
        <v>1548482400</v>
      </c>
      <c r="M773">
        <v>1550815200</v>
      </c>
      <c r="N773" s="9">
        <f>(((L773/60)/60)/24)+DATE(1970,1,1)</f>
        <v>43491.25</v>
      </c>
      <c r="O773" s="9">
        <f t="shared" si="38"/>
        <v>43518.25</v>
      </c>
      <c r="P773" t="b">
        <v>0</v>
      </c>
      <c r="Q773" t="b">
        <v>0</v>
      </c>
      <c r="R773" t="s">
        <v>33</v>
      </c>
      <c r="S773" t="s">
        <v>2039</v>
      </c>
      <c r="T773" t="s">
        <v>2040</v>
      </c>
    </row>
    <row r="774" spans="1:20" ht="17" hidden="1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>
        <f t="shared" si="36"/>
        <v>113</v>
      </c>
      <c r="G774" t="s">
        <v>20</v>
      </c>
      <c r="H774">
        <v>5139</v>
      </c>
      <c r="I774" s="4">
        <f t="shared" si="37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9">
        <f>(((L774/60)/60)/24)+DATE(1970,1,1)</f>
        <v>43505.25</v>
      </c>
      <c r="O774" s="9">
        <f t="shared" si="38"/>
        <v>43509.25</v>
      </c>
      <c r="P774" t="b">
        <v>0</v>
      </c>
      <c r="Q774" t="b">
        <v>0</v>
      </c>
      <c r="R774" t="s">
        <v>60</v>
      </c>
      <c r="S774" t="s">
        <v>2035</v>
      </c>
      <c r="T774" t="s">
        <v>2045</v>
      </c>
    </row>
    <row r="775" spans="1:20" ht="17" hidden="1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>
        <f t="shared" si="36"/>
        <v>191</v>
      </c>
      <c r="G775" t="s">
        <v>20</v>
      </c>
      <c r="H775">
        <v>2353</v>
      </c>
      <c r="I775" s="4">
        <f t="shared" si="37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9">
        <f>(((L775/60)/60)/24)+DATE(1970,1,1)</f>
        <v>42838.208333333328</v>
      </c>
      <c r="O775" s="9">
        <f t="shared" si="38"/>
        <v>42848.208333333328</v>
      </c>
      <c r="P775" t="b">
        <v>0</v>
      </c>
      <c r="Q775" t="b">
        <v>0</v>
      </c>
      <c r="R775" t="s">
        <v>33</v>
      </c>
      <c r="S775" t="s">
        <v>2039</v>
      </c>
      <c r="T775" t="s">
        <v>2040</v>
      </c>
    </row>
    <row r="776" spans="1:20" ht="17" hidden="1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>
        <f t="shared" si="36"/>
        <v>136</v>
      </c>
      <c r="G776" t="s">
        <v>20</v>
      </c>
      <c r="H776">
        <v>78</v>
      </c>
      <c r="I776" s="4">
        <f t="shared" si="37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9">
        <f>(((L776/60)/60)/24)+DATE(1970,1,1)</f>
        <v>42513.208333333328</v>
      </c>
      <c r="O776" s="9">
        <f t="shared" si="38"/>
        <v>42554.208333333328</v>
      </c>
      <c r="P776" t="b">
        <v>0</v>
      </c>
      <c r="Q776" t="b">
        <v>0</v>
      </c>
      <c r="R776" t="s">
        <v>28</v>
      </c>
      <c r="S776" t="s">
        <v>2037</v>
      </c>
      <c r="T776" t="s">
        <v>2038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>
        <f t="shared" si="36"/>
        <v>10</v>
      </c>
      <c r="G777" t="s">
        <v>14</v>
      </c>
      <c r="H777">
        <v>10</v>
      </c>
      <c r="I777" s="4">
        <f t="shared" si="37"/>
        <v>96.8</v>
      </c>
      <c r="J777" t="s">
        <v>21</v>
      </c>
      <c r="K777" t="s">
        <v>22</v>
      </c>
      <c r="L777">
        <v>1415253600</v>
      </c>
      <c r="M777">
        <v>1416117600</v>
      </c>
      <c r="N777" s="9">
        <f>(((L777/60)/60)/24)+DATE(1970,1,1)</f>
        <v>41949.25</v>
      </c>
      <c r="O777" s="9">
        <f t="shared" si="38"/>
        <v>41959.25</v>
      </c>
      <c r="P777" t="b">
        <v>0</v>
      </c>
      <c r="Q777" t="b">
        <v>0</v>
      </c>
      <c r="R777" t="s">
        <v>23</v>
      </c>
      <c r="S777" t="s">
        <v>2035</v>
      </c>
      <c r="T777" t="s">
        <v>2036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>
        <f t="shared" si="36"/>
        <v>66</v>
      </c>
      <c r="G778" t="s">
        <v>14</v>
      </c>
      <c r="H778">
        <v>2201</v>
      </c>
      <c r="I778" s="4">
        <f t="shared" si="37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9">
        <f>(((L778/60)/60)/24)+DATE(1970,1,1)</f>
        <v>43650.208333333328</v>
      </c>
      <c r="O778" s="9">
        <f t="shared" si="38"/>
        <v>43668.208333333328</v>
      </c>
      <c r="P778" t="b">
        <v>0</v>
      </c>
      <c r="Q778" t="b">
        <v>0</v>
      </c>
      <c r="R778" t="s">
        <v>33</v>
      </c>
      <c r="S778" t="s">
        <v>2039</v>
      </c>
      <c r="T778" t="s">
        <v>2040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>
        <f t="shared" si="36"/>
        <v>49</v>
      </c>
      <c r="G779" t="s">
        <v>14</v>
      </c>
      <c r="H779">
        <v>676</v>
      </c>
      <c r="I779" s="4">
        <f t="shared" si="37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9">
        <f>(((L779/60)/60)/24)+DATE(1970,1,1)</f>
        <v>40809.208333333336</v>
      </c>
      <c r="O779" s="9">
        <f t="shared" si="38"/>
        <v>40838.208333333336</v>
      </c>
      <c r="P779" t="b">
        <v>0</v>
      </c>
      <c r="Q779" t="b">
        <v>0</v>
      </c>
      <c r="R779" t="s">
        <v>33</v>
      </c>
      <c r="S779" t="s">
        <v>2039</v>
      </c>
      <c r="T779" t="s">
        <v>2040</v>
      </c>
    </row>
    <row r="780" spans="1:20" ht="17" hidden="1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>
        <f t="shared" si="36"/>
        <v>788</v>
      </c>
      <c r="G780" t="s">
        <v>20</v>
      </c>
      <c r="H780">
        <v>174</v>
      </c>
      <c r="I780" s="4">
        <f t="shared" si="37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9">
        <f>(((L780/60)/60)/24)+DATE(1970,1,1)</f>
        <v>40768.208333333336</v>
      </c>
      <c r="O780" s="9">
        <f t="shared" si="38"/>
        <v>40773.208333333336</v>
      </c>
      <c r="P780" t="b">
        <v>0</v>
      </c>
      <c r="Q780" t="b">
        <v>0</v>
      </c>
      <c r="R780" t="s">
        <v>71</v>
      </c>
      <c r="S780" t="s">
        <v>2041</v>
      </c>
      <c r="T780" t="s">
        <v>2049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>
        <f t="shared" si="36"/>
        <v>80</v>
      </c>
      <c r="G781" t="s">
        <v>14</v>
      </c>
      <c r="H781">
        <v>831</v>
      </c>
      <c r="I781" s="4">
        <f t="shared" si="37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9">
        <f>(((L781/60)/60)/24)+DATE(1970,1,1)</f>
        <v>42230.208333333328</v>
      </c>
      <c r="O781" s="9">
        <f t="shared" si="38"/>
        <v>42239.208333333328</v>
      </c>
      <c r="P781" t="b">
        <v>0</v>
      </c>
      <c r="Q781" t="b">
        <v>1</v>
      </c>
      <c r="R781" t="s">
        <v>33</v>
      </c>
      <c r="S781" t="s">
        <v>2039</v>
      </c>
      <c r="T781" t="s">
        <v>2040</v>
      </c>
    </row>
    <row r="782" spans="1:20" ht="34" hidden="1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>
        <f t="shared" si="36"/>
        <v>106</v>
      </c>
      <c r="G782" t="s">
        <v>20</v>
      </c>
      <c r="H782">
        <v>164</v>
      </c>
      <c r="I782" s="4">
        <f t="shared" si="37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9">
        <f>(((L782/60)/60)/24)+DATE(1970,1,1)</f>
        <v>42573.208333333328</v>
      </c>
      <c r="O782" s="9">
        <f t="shared" si="38"/>
        <v>42592.208333333328</v>
      </c>
      <c r="P782" t="b">
        <v>0</v>
      </c>
      <c r="Q782" t="b">
        <v>1</v>
      </c>
      <c r="R782" t="s">
        <v>53</v>
      </c>
      <c r="S782" t="s">
        <v>2041</v>
      </c>
      <c r="T782" t="s">
        <v>2044</v>
      </c>
    </row>
    <row r="783" spans="1:20" ht="17" hidden="1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>
        <f t="shared" si="36"/>
        <v>51</v>
      </c>
      <c r="G783" t="s">
        <v>74</v>
      </c>
      <c r="H783">
        <v>56</v>
      </c>
      <c r="I783" s="4">
        <f t="shared" si="37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9">
        <f>(((L783/60)/60)/24)+DATE(1970,1,1)</f>
        <v>40482.208333333336</v>
      </c>
      <c r="O783" s="9">
        <f t="shared" si="38"/>
        <v>40533.25</v>
      </c>
      <c r="P783" t="b">
        <v>0</v>
      </c>
      <c r="Q783" t="b">
        <v>0</v>
      </c>
      <c r="R783" t="s">
        <v>33</v>
      </c>
      <c r="S783" t="s">
        <v>2039</v>
      </c>
      <c r="T783" t="s">
        <v>2040</v>
      </c>
    </row>
    <row r="784" spans="1:20" ht="17" hidden="1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>
        <f t="shared" si="36"/>
        <v>215</v>
      </c>
      <c r="G784" t="s">
        <v>20</v>
      </c>
      <c r="H784">
        <v>161</v>
      </c>
      <c r="I784" s="4">
        <f t="shared" si="37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9">
        <f>(((L784/60)/60)/24)+DATE(1970,1,1)</f>
        <v>40603.25</v>
      </c>
      <c r="O784" s="9">
        <f t="shared" si="38"/>
        <v>40631.208333333336</v>
      </c>
      <c r="P784" t="b">
        <v>0</v>
      </c>
      <c r="Q784" t="b">
        <v>1</v>
      </c>
      <c r="R784" t="s">
        <v>71</v>
      </c>
      <c r="S784" t="s">
        <v>2041</v>
      </c>
      <c r="T784" t="s">
        <v>2049</v>
      </c>
    </row>
    <row r="785" spans="1:20" ht="17" hidden="1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>
        <f t="shared" si="36"/>
        <v>141</v>
      </c>
      <c r="G785" t="s">
        <v>20</v>
      </c>
      <c r="H785">
        <v>138</v>
      </c>
      <c r="I785" s="4">
        <f t="shared" si="37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9">
        <f>(((L785/60)/60)/24)+DATE(1970,1,1)</f>
        <v>41625.25</v>
      </c>
      <c r="O785" s="9">
        <f t="shared" si="38"/>
        <v>41632.25</v>
      </c>
      <c r="P785" t="b">
        <v>0</v>
      </c>
      <c r="Q785" t="b">
        <v>0</v>
      </c>
      <c r="R785" t="s">
        <v>23</v>
      </c>
      <c r="S785" t="s">
        <v>2035</v>
      </c>
      <c r="T785" t="s">
        <v>2036</v>
      </c>
    </row>
    <row r="786" spans="1:20" ht="17" hidden="1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>
        <f t="shared" si="36"/>
        <v>115</v>
      </c>
      <c r="G786" t="s">
        <v>20</v>
      </c>
      <c r="H786">
        <v>3308</v>
      </c>
      <c r="I786" s="4">
        <f t="shared" si="37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9">
        <f>(((L786/60)/60)/24)+DATE(1970,1,1)</f>
        <v>42435.25</v>
      </c>
      <c r="O786" s="9">
        <f t="shared" si="38"/>
        <v>42446.208333333328</v>
      </c>
      <c r="P786" t="b">
        <v>0</v>
      </c>
      <c r="Q786" t="b">
        <v>0</v>
      </c>
      <c r="R786" t="s">
        <v>28</v>
      </c>
      <c r="S786" t="s">
        <v>2037</v>
      </c>
      <c r="T786" t="s">
        <v>2038</v>
      </c>
    </row>
    <row r="787" spans="1:20" ht="34" hidden="1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>
        <f t="shared" si="36"/>
        <v>193</v>
      </c>
      <c r="G787" t="s">
        <v>20</v>
      </c>
      <c r="H787">
        <v>127</v>
      </c>
      <c r="I787" s="4">
        <f t="shared" si="37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9">
        <f>(((L787/60)/60)/24)+DATE(1970,1,1)</f>
        <v>43582.208333333328</v>
      </c>
      <c r="O787" s="9">
        <f t="shared" si="38"/>
        <v>43616.208333333328</v>
      </c>
      <c r="P787" t="b">
        <v>0</v>
      </c>
      <c r="Q787" t="b">
        <v>1</v>
      </c>
      <c r="R787" t="s">
        <v>71</v>
      </c>
      <c r="S787" t="s">
        <v>2041</v>
      </c>
      <c r="T787" t="s">
        <v>2049</v>
      </c>
    </row>
    <row r="788" spans="1:20" ht="17" hidden="1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>
        <f t="shared" si="36"/>
        <v>730</v>
      </c>
      <c r="G788" t="s">
        <v>20</v>
      </c>
      <c r="H788">
        <v>207</v>
      </c>
      <c r="I788" s="4">
        <f t="shared" si="37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9">
        <f>(((L788/60)/60)/24)+DATE(1970,1,1)</f>
        <v>43186.208333333328</v>
      </c>
      <c r="O788" s="9">
        <f t="shared" si="38"/>
        <v>43193.208333333328</v>
      </c>
      <c r="P788" t="b">
        <v>0</v>
      </c>
      <c r="Q788" t="b">
        <v>1</v>
      </c>
      <c r="R788" t="s">
        <v>159</v>
      </c>
      <c r="S788" t="s">
        <v>2035</v>
      </c>
      <c r="T788" t="s">
        <v>2058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>
        <f t="shared" si="36"/>
        <v>100</v>
      </c>
      <c r="G789" t="s">
        <v>14</v>
      </c>
      <c r="H789">
        <v>859</v>
      </c>
      <c r="I789" s="4">
        <f t="shared" si="37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9">
        <f>(((L789/60)/60)/24)+DATE(1970,1,1)</f>
        <v>40684.208333333336</v>
      </c>
      <c r="O789" s="9">
        <f t="shared" si="38"/>
        <v>40693.208333333336</v>
      </c>
      <c r="P789" t="b">
        <v>0</v>
      </c>
      <c r="Q789" t="b">
        <v>0</v>
      </c>
      <c r="R789" t="s">
        <v>23</v>
      </c>
      <c r="S789" t="s">
        <v>2035</v>
      </c>
      <c r="T789" t="s">
        <v>2036</v>
      </c>
    </row>
    <row r="790" spans="1:20" ht="17" hidden="1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>
        <f t="shared" si="36"/>
        <v>88</v>
      </c>
      <c r="G790" t="s">
        <v>47</v>
      </c>
      <c r="H790">
        <v>31</v>
      </c>
      <c r="I790" s="4">
        <f t="shared" si="37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9">
        <f>(((L790/60)/60)/24)+DATE(1970,1,1)</f>
        <v>41202.208333333336</v>
      </c>
      <c r="O790" s="9">
        <f t="shared" si="38"/>
        <v>41223.25</v>
      </c>
      <c r="P790" t="b">
        <v>0</v>
      </c>
      <c r="Q790" t="b">
        <v>0</v>
      </c>
      <c r="R790" t="s">
        <v>71</v>
      </c>
      <c r="S790" t="s">
        <v>2041</v>
      </c>
      <c r="T790" t="s">
        <v>2049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>
        <f t="shared" si="36"/>
        <v>37</v>
      </c>
      <c r="G791" t="s">
        <v>14</v>
      </c>
      <c r="H791">
        <v>45</v>
      </c>
      <c r="I791" s="4">
        <f t="shared" si="37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9">
        <f>(((L791/60)/60)/24)+DATE(1970,1,1)</f>
        <v>41786.208333333336</v>
      </c>
      <c r="O791" s="9">
        <f t="shared" si="38"/>
        <v>41823.208333333336</v>
      </c>
      <c r="P791" t="b">
        <v>0</v>
      </c>
      <c r="Q791" t="b">
        <v>0</v>
      </c>
      <c r="R791" t="s">
        <v>33</v>
      </c>
      <c r="S791" t="s">
        <v>2039</v>
      </c>
      <c r="T791" t="s">
        <v>2040</v>
      </c>
    </row>
    <row r="792" spans="1:20" ht="17" hidden="1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>
        <f t="shared" si="36"/>
        <v>31</v>
      </c>
      <c r="G792" t="s">
        <v>74</v>
      </c>
      <c r="H792">
        <v>1113</v>
      </c>
      <c r="I792" s="4">
        <f t="shared" si="37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9">
        <f>(((L792/60)/60)/24)+DATE(1970,1,1)</f>
        <v>40223.25</v>
      </c>
      <c r="O792" s="9">
        <f t="shared" si="38"/>
        <v>40229.25</v>
      </c>
      <c r="P792" t="b">
        <v>0</v>
      </c>
      <c r="Q792" t="b">
        <v>0</v>
      </c>
      <c r="R792" t="s">
        <v>33</v>
      </c>
      <c r="S792" t="s">
        <v>2039</v>
      </c>
      <c r="T792" t="s">
        <v>2040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>
        <f t="shared" si="36"/>
        <v>26</v>
      </c>
      <c r="G793" t="s">
        <v>14</v>
      </c>
      <c r="H793">
        <v>6</v>
      </c>
      <c r="I793" s="4">
        <f t="shared" si="37"/>
        <v>90</v>
      </c>
      <c r="J793" t="s">
        <v>21</v>
      </c>
      <c r="K793" t="s">
        <v>22</v>
      </c>
      <c r="L793">
        <v>1481436000</v>
      </c>
      <c r="M793">
        <v>1482818400</v>
      </c>
      <c r="N793" s="9">
        <f>(((L793/60)/60)/24)+DATE(1970,1,1)</f>
        <v>42715.25</v>
      </c>
      <c r="O793" s="9">
        <f t="shared" si="38"/>
        <v>42731.25</v>
      </c>
      <c r="P793" t="b">
        <v>0</v>
      </c>
      <c r="Q793" t="b">
        <v>0</v>
      </c>
      <c r="R793" t="s">
        <v>17</v>
      </c>
      <c r="S793" t="s">
        <v>2033</v>
      </c>
      <c r="T793" t="s">
        <v>2034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>
        <f t="shared" si="36"/>
        <v>34</v>
      </c>
      <c r="G794" t="s">
        <v>14</v>
      </c>
      <c r="H794">
        <v>7</v>
      </c>
      <c r="I794" s="4">
        <f t="shared" si="37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9">
        <f>(((L794/60)/60)/24)+DATE(1970,1,1)</f>
        <v>41451.208333333336</v>
      </c>
      <c r="O794" s="9">
        <f t="shared" si="38"/>
        <v>41479.208333333336</v>
      </c>
      <c r="P794" t="b">
        <v>0</v>
      </c>
      <c r="Q794" t="b">
        <v>1</v>
      </c>
      <c r="R794" t="s">
        <v>33</v>
      </c>
      <c r="S794" t="s">
        <v>2039</v>
      </c>
      <c r="T794" t="s">
        <v>2040</v>
      </c>
    </row>
    <row r="795" spans="1:20" ht="17" hidden="1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>
        <f t="shared" si="36"/>
        <v>1186</v>
      </c>
      <c r="G795" t="s">
        <v>20</v>
      </c>
      <c r="H795">
        <v>181</v>
      </c>
      <c r="I795" s="4">
        <f t="shared" si="37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9">
        <f>(((L795/60)/60)/24)+DATE(1970,1,1)</f>
        <v>41450.208333333336</v>
      </c>
      <c r="O795" s="9">
        <f t="shared" si="38"/>
        <v>41454.208333333336</v>
      </c>
      <c r="P795" t="b">
        <v>0</v>
      </c>
      <c r="Q795" t="b">
        <v>0</v>
      </c>
      <c r="R795" t="s">
        <v>68</v>
      </c>
      <c r="S795" t="s">
        <v>2047</v>
      </c>
      <c r="T795" t="s">
        <v>2048</v>
      </c>
    </row>
    <row r="796" spans="1:20" ht="17" hidden="1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>
        <f t="shared" si="36"/>
        <v>125</v>
      </c>
      <c r="G796" t="s">
        <v>20</v>
      </c>
      <c r="H796">
        <v>110</v>
      </c>
      <c r="I796" s="4">
        <f t="shared" si="37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9">
        <f>(((L796/60)/60)/24)+DATE(1970,1,1)</f>
        <v>43091.25</v>
      </c>
      <c r="O796" s="9">
        <f t="shared" si="38"/>
        <v>43103.25</v>
      </c>
      <c r="P796" t="b">
        <v>0</v>
      </c>
      <c r="Q796" t="b">
        <v>0</v>
      </c>
      <c r="R796" t="s">
        <v>23</v>
      </c>
      <c r="S796" t="s">
        <v>2035</v>
      </c>
      <c r="T796" t="s">
        <v>2036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>
        <f t="shared" si="36"/>
        <v>14</v>
      </c>
      <c r="G797" t="s">
        <v>14</v>
      </c>
      <c r="H797">
        <v>31</v>
      </c>
      <c r="I797" s="4">
        <f t="shared" si="37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9">
        <f>(((L797/60)/60)/24)+DATE(1970,1,1)</f>
        <v>42675.208333333328</v>
      </c>
      <c r="O797" s="9">
        <f t="shared" si="38"/>
        <v>42678.208333333328</v>
      </c>
      <c r="P797" t="b">
        <v>0</v>
      </c>
      <c r="Q797" t="b">
        <v>0</v>
      </c>
      <c r="R797" t="s">
        <v>53</v>
      </c>
      <c r="S797" t="s">
        <v>2041</v>
      </c>
      <c r="T797" t="s">
        <v>2044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>
        <f t="shared" si="36"/>
        <v>55</v>
      </c>
      <c r="G798" t="s">
        <v>14</v>
      </c>
      <c r="H798">
        <v>78</v>
      </c>
      <c r="I798" s="4">
        <f t="shared" si="37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9">
        <f>(((L798/60)/60)/24)+DATE(1970,1,1)</f>
        <v>41859.208333333336</v>
      </c>
      <c r="O798" s="9">
        <f t="shared" si="38"/>
        <v>41866.208333333336</v>
      </c>
      <c r="P798" t="b">
        <v>0</v>
      </c>
      <c r="Q798" t="b">
        <v>1</v>
      </c>
      <c r="R798" t="s">
        <v>292</v>
      </c>
      <c r="S798" t="s">
        <v>2050</v>
      </c>
      <c r="T798" t="s">
        <v>2061</v>
      </c>
    </row>
    <row r="799" spans="1:20" ht="17" hidden="1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>
        <f t="shared" si="36"/>
        <v>110</v>
      </c>
      <c r="G799" t="s">
        <v>20</v>
      </c>
      <c r="H799">
        <v>185</v>
      </c>
      <c r="I799" s="4">
        <f t="shared" si="37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9">
        <f>(((L799/60)/60)/24)+DATE(1970,1,1)</f>
        <v>43464.25</v>
      </c>
      <c r="O799" s="9">
        <f t="shared" si="38"/>
        <v>43487.25</v>
      </c>
      <c r="P799" t="b">
        <v>0</v>
      </c>
      <c r="Q799" t="b">
        <v>0</v>
      </c>
      <c r="R799" t="s">
        <v>28</v>
      </c>
      <c r="S799" t="s">
        <v>2037</v>
      </c>
      <c r="T799" t="s">
        <v>2038</v>
      </c>
    </row>
    <row r="800" spans="1:20" ht="17" hidden="1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>
        <f t="shared" si="36"/>
        <v>188</v>
      </c>
      <c r="G800" t="s">
        <v>20</v>
      </c>
      <c r="H800">
        <v>121</v>
      </c>
      <c r="I800" s="4">
        <f t="shared" si="37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9">
        <f>(((L800/60)/60)/24)+DATE(1970,1,1)</f>
        <v>41060.208333333336</v>
      </c>
      <c r="O800" s="9">
        <f t="shared" si="38"/>
        <v>41088.208333333336</v>
      </c>
      <c r="P800" t="b">
        <v>0</v>
      </c>
      <c r="Q800" t="b">
        <v>1</v>
      </c>
      <c r="R800" t="s">
        <v>33</v>
      </c>
      <c r="S800" t="s">
        <v>2039</v>
      </c>
      <c r="T800" t="s">
        <v>2040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>
        <f t="shared" si="36"/>
        <v>87</v>
      </c>
      <c r="G801" t="s">
        <v>14</v>
      </c>
      <c r="H801">
        <v>1225</v>
      </c>
      <c r="I801" s="4">
        <f t="shared" si="37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9">
        <f>(((L801/60)/60)/24)+DATE(1970,1,1)</f>
        <v>42399.25</v>
      </c>
      <c r="O801" s="9">
        <f t="shared" si="38"/>
        <v>42403.25</v>
      </c>
      <c r="P801" t="b">
        <v>0</v>
      </c>
      <c r="Q801" t="b">
        <v>0</v>
      </c>
      <c r="R801" t="s">
        <v>33</v>
      </c>
      <c r="S801" t="s">
        <v>2039</v>
      </c>
      <c r="T801" t="s">
        <v>2040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>
        <f t="shared" si="36"/>
        <v>1</v>
      </c>
      <c r="G802" t="s">
        <v>14</v>
      </c>
      <c r="H802">
        <v>1</v>
      </c>
      <c r="I802" s="4">
        <f t="shared" si="37"/>
        <v>1</v>
      </c>
      <c r="J802" t="s">
        <v>98</v>
      </c>
      <c r="K802" t="s">
        <v>99</v>
      </c>
      <c r="L802">
        <v>1434085200</v>
      </c>
      <c r="M802">
        <v>1434430800</v>
      </c>
      <c r="N802" s="9">
        <f>(((L802/60)/60)/24)+DATE(1970,1,1)</f>
        <v>42167.208333333328</v>
      </c>
      <c r="O802" s="9">
        <f t="shared" si="38"/>
        <v>42171.208333333328</v>
      </c>
      <c r="P802" t="b">
        <v>0</v>
      </c>
      <c r="Q802" t="b">
        <v>0</v>
      </c>
      <c r="R802" t="s">
        <v>23</v>
      </c>
      <c r="S802" t="s">
        <v>2035</v>
      </c>
      <c r="T802" t="s">
        <v>2036</v>
      </c>
    </row>
    <row r="803" spans="1:20" ht="17" hidden="1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>
        <f t="shared" si="36"/>
        <v>203</v>
      </c>
      <c r="G803" t="s">
        <v>20</v>
      </c>
      <c r="H803">
        <v>106</v>
      </c>
      <c r="I803" s="4">
        <f t="shared" si="37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9">
        <f>(((L803/60)/60)/24)+DATE(1970,1,1)</f>
        <v>43830.25</v>
      </c>
      <c r="O803" s="9">
        <f t="shared" si="38"/>
        <v>43852.25</v>
      </c>
      <c r="P803" t="b">
        <v>0</v>
      </c>
      <c r="Q803" t="b">
        <v>1</v>
      </c>
      <c r="R803" t="s">
        <v>122</v>
      </c>
      <c r="S803" t="s">
        <v>2054</v>
      </c>
      <c r="T803" t="s">
        <v>2055</v>
      </c>
    </row>
    <row r="804" spans="1:20" ht="34" hidden="1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>
        <f t="shared" si="36"/>
        <v>197</v>
      </c>
      <c r="G804" t="s">
        <v>20</v>
      </c>
      <c r="H804">
        <v>142</v>
      </c>
      <c r="I804" s="4">
        <f t="shared" si="37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9">
        <f>(((L804/60)/60)/24)+DATE(1970,1,1)</f>
        <v>43650.208333333328</v>
      </c>
      <c r="O804" s="9">
        <f t="shared" si="38"/>
        <v>43652.208333333328</v>
      </c>
      <c r="P804" t="b">
        <v>0</v>
      </c>
      <c r="Q804" t="b">
        <v>0</v>
      </c>
      <c r="R804" t="s">
        <v>122</v>
      </c>
      <c r="S804" t="s">
        <v>2054</v>
      </c>
      <c r="T804" t="s">
        <v>2055</v>
      </c>
    </row>
    <row r="805" spans="1:20" ht="34" hidden="1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>
        <f t="shared" si="36"/>
        <v>107</v>
      </c>
      <c r="G805" t="s">
        <v>20</v>
      </c>
      <c r="H805">
        <v>233</v>
      </c>
      <c r="I805" s="4">
        <f t="shared" si="37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9">
        <f>(((L805/60)/60)/24)+DATE(1970,1,1)</f>
        <v>43492.25</v>
      </c>
      <c r="O805" s="9">
        <f t="shared" si="38"/>
        <v>43526.25</v>
      </c>
      <c r="P805" t="b">
        <v>0</v>
      </c>
      <c r="Q805" t="b">
        <v>0</v>
      </c>
      <c r="R805" t="s">
        <v>33</v>
      </c>
      <c r="S805" t="s">
        <v>2039</v>
      </c>
      <c r="T805" t="s">
        <v>2040</v>
      </c>
    </row>
    <row r="806" spans="1:20" ht="17" hidden="1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>
        <f t="shared" si="36"/>
        <v>269</v>
      </c>
      <c r="G806" t="s">
        <v>20</v>
      </c>
      <c r="H806">
        <v>218</v>
      </c>
      <c r="I806" s="4">
        <f t="shared" si="37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9">
        <f>(((L806/60)/60)/24)+DATE(1970,1,1)</f>
        <v>43102.25</v>
      </c>
      <c r="O806" s="9">
        <f t="shared" si="38"/>
        <v>43122.25</v>
      </c>
      <c r="P806" t="b">
        <v>0</v>
      </c>
      <c r="Q806" t="b">
        <v>0</v>
      </c>
      <c r="R806" t="s">
        <v>23</v>
      </c>
      <c r="S806" t="s">
        <v>2035</v>
      </c>
      <c r="T806" t="s">
        <v>2036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>
        <f t="shared" si="36"/>
        <v>51</v>
      </c>
      <c r="G807" t="s">
        <v>14</v>
      </c>
      <c r="H807">
        <v>67</v>
      </c>
      <c r="I807" s="4">
        <f t="shared" si="37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9">
        <f>(((L807/60)/60)/24)+DATE(1970,1,1)</f>
        <v>41958.25</v>
      </c>
      <c r="O807" s="9">
        <f t="shared" si="38"/>
        <v>42009.25</v>
      </c>
      <c r="P807" t="b">
        <v>0</v>
      </c>
      <c r="Q807" t="b">
        <v>0</v>
      </c>
      <c r="R807" t="s">
        <v>42</v>
      </c>
      <c r="S807" t="s">
        <v>2041</v>
      </c>
      <c r="T807" t="s">
        <v>2042</v>
      </c>
    </row>
    <row r="808" spans="1:20" ht="17" hidden="1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>
        <f t="shared" si="36"/>
        <v>1180</v>
      </c>
      <c r="G808" t="s">
        <v>20</v>
      </c>
      <c r="H808">
        <v>76</v>
      </c>
      <c r="I808" s="4">
        <f t="shared" si="37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9">
        <f>(((L808/60)/60)/24)+DATE(1970,1,1)</f>
        <v>40973.25</v>
      </c>
      <c r="O808" s="9">
        <f t="shared" si="38"/>
        <v>40997.208333333336</v>
      </c>
      <c r="P808" t="b">
        <v>0</v>
      </c>
      <c r="Q808" t="b">
        <v>1</v>
      </c>
      <c r="R808" t="s">
        <v>53</v>
      </c>
      <c r="S808" t="s">
        <v>2041</v>
      </c>
      <c r="T808" t="s">
        <v>2044</v>
      </c>
    </row>
    <row r="809" spans="1:20" ht="17" hidden="1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>
        <f t="shared" si="36"/>
        <v>264</v>
      </c>
      <c r="G809" t="s">
        <v>20</v>
      </c>
      <c r="H809">
        <v>43</v>
      </c>
      <c r="I809" s="4">
        <f t="shared" si="37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9">
        <f>(((L809/60)/60)/24)+DATE(1970,1,1)</f>
        <v>43753.208333333328</v>
      </c>
      <c r="O809" s="9">
        <f t="shared" si="38"/>
        <v>43797.25</v>
      </c>
      <c r="P809" t="b">
        <v>0</v>
      </c>
      <c r="Q809" t="b">
        <v>1</v>
      </c>
      <c r="R809" t="s">
        <v>33</v>
      </c>
      <c r="S809" t="s">
        <v>2039</v>
      </c>
      <c r="T809" t="s">
        <v>2040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>
        <f t="shared" si="36"/>
        <v>30</v>
      </c>
      <c r="G810" t="s">
        <v>14</v>
      </c>
      <c r="H810">
        <v>19</v>
      </c>
      <c r="I810" s="4">
        <f t="shared" si="37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9">
        <f>(((L810/60)/60)/24)+DATE(1970,1,1)</f>
        <v>42507.208333333328</v>
      </c>
      <c r="O810" s="9">
        <f t="shared" si="38"/>
        <v>42524.208333333328</v>
      </c>
      <c r="P810" t="b">
        <v>0</v>
      </c>
      <c r="Q810" t="b">
        <v>0</v>
      </c>
      <c r="R810" t="s">
        <v>17</v>
      </c>
      <c r="S810" t="s">
        <v>2033</v>
      </c>
      <c r="T810" t="s">
        <v>2034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>
        <f t="shared" si="36"/>
        <v>63</v>
      </c>
      <c r="G811" t="s">
        <v>14</v>
      </c>
      <c r="H811">
        <v>2108</v>
      </c>
      <c r="I811" s="4">
        <f t="shared" si="37"/>
        <v>42</v>
      </c>
      <c r="J811" t="s">
        <v>98</v>
      </c>
      <c r="K811" t="s">
        <v>99</v>
      </c>
      <c r="L811">
        <v>1344920400</v>
      </c>
      <c r="M811">
        <v>1345006800</v>
      </c>
      <c r="N811" s="9">
        <f>(((L811/60)/60)/24)+DATE(1970,1,1)</f>
        <v>41135.208333333336</v>
      </c>
      <c r="O811" s="9">
        <f t="shared" si="38"/>
        <v>41136.208333333336</v>
      </c>
      <c r="P811" t="b">
        <v>0</v>
      </c>
      <c r="Q811" t="b">
        <v>0</v>
      </c>
      <c r="R811" t="s">
        <v>42</v>
      </c>
      <c r="S811" t="s">
        <v>2041</v>
      </c>
      <c r="T811" t="s">
        <v>2042</v>
      </c>
    </row>
    <row r="812" spans="1:20" ht="34" hidden="1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>
        <f t="shared" si="36"/>
        <v>193</v>
      </c>
      <c r="G812" t="s">
        <v>20</v>
      </c>
      <c r="H812">
        <v>221</v>
      </c>
      <c r="I812" s="4">
        <f t="shared" si="37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9">
        <f>(((L812/60)/60)/24)+DATE(1970,1,1)</f>
        <v>43067.25</v>
      </c>
      <c r="O812" s="9">
        <f t="shared" si="38"/>
        <v>43077.25</v>
      </c>
      <c r="P812" t="b">
        <v>0</v>
      </c>
      <c r="Q812" t="b">
        <v>1</v>
      </c>
      <c r="R812" t="s">
        <v>33</v>
      </c>
      <c r="S812" t="s">
        <v>2039</v>
      </c>
      <c r="T812" t="s">
        <v>2040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>
        <f t="shared" si="36"/>
        <v>77</v>
      </c>
      <c r="G813" t="s">
        <v>14</v>
      </c>
      <c r="H813">
        <v>679</v>
      </c>
      <c r="I813" s="4">
        <f t="shared" si="37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9">
        <f>(((L813/60)/60)/24)+DATE(1970,1,1)</f>
        <v>42378.25</v>
      </c>
      <c r="O813" s="9">
        <f t="shared" si="38"/>
        <v>42380.25</v>
      </c>
      <c r="P813" t="b">
        <v>0</v>
      </c>
      <c r="Q813" t="b">
        <v>1</v>
      </c>
      <c r="R813" t="s">
        <v>89</v>
      </c>
      <c r="S813" t="s">
        <v>2050</v>
      </c>
      <c r="T813" t="s">
        <v>2051</v>
      </c>
    </row>
    <row r="814" spans="1:20" ht="17" hidden="1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>
        <f t="shared" si="36"/>
        <v>226</v>
      </c>
      <c r="G814" t="s">
        <v>20</v>
      </c>
      <c r="H814">
        <v>2805</v>
      </c>
      <c r="I814" s="4">
        <f t="shared" si="37"/>
        <v>48</v>
      </c>
      <c r="J814" t="s">
        <v>15</v>
      </c>
      <c r="K814" t="s">
        <v>16</v>
      </c>
      <c r="L814">
        <v>1523854800</v>
      </c>
      <c r="M814">
        <v>1524286800</v>
      </c>
      <c r="N814" s="9">
        <f>(((L814/60)/60)/24)+DATE(1970,1,1)</f>
        <v>43206.208333333328</v>
      </c>
      <c r="O814" s="9">
        <f t="shared" si="38"/>
        <v>43211.208333333328</v>
      </c>
      <c r="P814" t="b">
        <v>0</v>
      </c>
      <c r="Q814" t="b">
        <v>0</v>
      </c>
      <c r="R814" t="s">
        <v>68</v>
      </c>
      <c r="S814" t="s">
        <v>2047</v>
      </c>
      <c r="T814" t="s">
        <v>2048</v>
      </c>
    </row>
    <row r="815" spans="1:20" ht="17" hidden="1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>
        <f t="shared" si="36"/>
        <v>239</v>
      </c>
      <c r="G815" t="s">
        <v>20</v>
      </c>
      <c r="H815">
        <v>68</v>
      </c>
      <c r="I815" s="4">
        <f t="shared" si="37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9">
        <f>(((L815/60)/60)/24)+DATE(1970,1,1)</f>
        <v>41148.208333333336</v>
      </c>
      <c r="O815" s="9">
        <f t="shared" si="38"/>
        <v>41158.208333333336</v>
      </c>
      <c r="P815" t="b">
        <v>0</v>
      </c>
      <c r="Q815" t="b">
        <v>0</v>
      </c>
      <c r="R815" t="s">
        <v>89</v>
      </c>
      <c r="S815" t="s">
        <v>2050</v>
      </c>
      <c r="T815" t="s">
        <v>2051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>
        <f t="shared" si="36"/>
        <v>92</v>
      </c>
      <c r="G816" t="s">
        <v>14</v>
      </c>
      <c r="H816">
        <v>36</v>
      </c>
      <c r="I816" s="4">
        <f t="shared" si="37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9">
        <f>(((L816/60)/60)/24)+DATE(1970,1,1)</f>
        <v>42517.208333333328</v>
      </c>
      <c r="O816" s="9">
        <f t="shared" si="38"/>
        <v>42519.208333333328</v>
      </c>
      <c r="P816" t="b">
        <v>0</v>
      </c>
      <c r="Q816" t="b">
        <v>1</v>
      </c>
      <c r="R816" t="s">
        <v>23</v>
      </c>
      <c r="S816" t="s">
        <v>2035</v>
      </c>
      <c r="T816" t="s">
        <v>2036</v>
      </c>
    </row>
    <row r="817" spans="1:20" ht="34" hidden="1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>
        <f t="shared" si="36"/>
        <v>130</v>
      </c>
      <c r="G817" t="s">
        <v>20</v>
      </c>
      <c r="H817">
        <v>183</v>
      </c>
      <c r="I817" s="4">
        <f t="shared" si="37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9">
        <f>(((L817/60)/60)/24)+DATE(1970,1,1)</f>
        <v>43068.25</v>
      </c>
      <c r="O817" s="9">
        <f t="shared" si="38"/>
        <v>43094.25</v>
      </c>
      <c r="P817" t="b">
        <v>0</v>
      </c>
      <c r="Q817" t="b">
        <v>0</v>
      </c>
      <c r="R817" t="s">
        <v>23</v>
      </c>
      <c r="S817" t="s">
        <v>2035</v>
      </c>
      <c r="T817" t="s">
        <v>2036</v>
      </c>
    </row>
    <row r="818" spans="1:20" ht="34" hidden="1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>
        <f t="shared" si="36"/>
        <v>615</v>
      </c>
      <c r="G818" t="s">
        <v>20</v>
      </c>
      <c r="H818">
        <v>133</v>
      </c>
      <c r="I818" s="4">
        <f t="shared" si="37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9">
        <f>(((L818/60)/60)/24)+DATE(1970,1,1)</f>
        <v>41680.25</v>
      </c>
      <c r="O818" s="9">
        <f t="shared" si="38"/>
        <v>41682.25</v>
      </c>
      <c r="P818" t="b">
        <v>1</v>
      </c>
      <c r="Q818" t="b">
        <v>1</v>
      </c>
      <c r="R818" t="s">
        <v>33</v>
      </c>
      <c r="S818" t="s">
        <v>2039</v>
      </c>
      <c r="T818" t="s">
        <v>2040</v>
      </c>
    </row>
    <row r="819" spans="1:20" ht="17" hidden="1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>
        <f t="shared" si="36"/>
        <v>369</v>
      </c>
      <c r="G819" t="s">
        <v>20</v>
      </c>
      <c r="H819">
        <v>2489</v>
      </c>
      <c r="I819" s="4">
        <f t="shared" si="37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9">
        <f>(((L819/60)/60)/24)+DATE(1970,1,1)</f>
        <v>43589.208333333328</v>
      </c>
      <c r="O819" s="9">
        <f t="shared" si="38"/>
        <v>43617.208333333328</v>
      </c>
      <c r="P819" t="b">
        <v>0</v>
      </c>
      <c r="Q819" t="b">
        <v>1</v>
      </c>
      <c r="R819" t="s">
        <v>68</v>
      </c>
      <c r="S819" t="s">
        <v>2047</v>
      </c>
      <c r="T819" t="s">
        <v>2048</v>
      </c>
    </row>
    <row r="820" spans="1:20" ht="17" hidden="1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>
        <f t="shared" si="36"/>
        <v>1095</v>
      </c>
      <c r="G820" t="s">
        <v>20</v>
      </c>
      <c r="H820">
        <v>69</v>
      </c>
      <c r="I820" s="4">
        <f t="shared" si="37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9">
        <f>(((L820/60)/60)/24)+DATE(1970,1,1)</f>
        <v>43486.25</v>
      </c>
      <c r="O820" s="9">
        <f t="shared" si="38"/>
        <v>43499.25</v>
      </c>
      <c r="P820" t="b">
        <v>0</v>
      </c>
      <c r="Q820" t="b">
        <v>1</v>
      </c>
      <c r="R820" t="s">
        <v>33</v>
      </c>
      <c r="S820" t="s">
        <v>2039</v>
      </c>
      <c r="T820" t="s">
        <v>2040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>
        <f t="shared" si="36"/>
        <v>51</v>
      </c>
      <c r="G821" t="s">
        <v>14</v>
      </c>
      <c r="H821">
        <v>47</v>
      </c>
      <c r="I821" s="4">
        <f t="shared" si="37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9">
        <f>(((L821/60)/60)/24)+DATE(1970,1,1)</f>
        <v>41237.25</v>
      </c>
      <c r="O821" s="9">
        <f t="shared" si="38"/>
        <v>41252.25</v>
      </c>
      <c r="P821" t="b">
        <v>1</v>
      </c>
      <c r="Q821" t="b">
        <v>0</v>
      </c>
      <c r="R821" t="s">
        <v>89</v>
      </c>
      <c r="S821" t="s">
        <v>2050</v>
      </c>
      <c r="T821" t="s">
        <v>2051</v>
      </c>
    </row>
    <row r="822" spans="1:20" ht="17" hidden="1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>
        <f t="shared" si="36"/>
        <v>801</v>
      </c>
      <c r="G822" t="s">
        <v>20</v>
      </c>
      <c r="H822">
        <v>279</v>
      </c>
      <c r="I822" s="4">
        <f t="shared" si="37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9">
        <f>(((L822/60)/60)/24)+DATE(1970,1,1)</f>
        <v>43310.208333333328</v>
      </c>
      <c r="O822" s="9">
        <f t="shared" si="38"/>
        <v>43323.208333333328</v>
      </c>
      <c r="P822" t="b">
        <v>0</v>
      </c>
      <c r="Q822" t="b">
        <v>1</v>
      </c>
      <c r="R822" t="s">
        <v>23</v>
      </c>
      <c r="S822" t="s">
        <v>2035</v>
      </c>
      <c r="T822" t="s">
        <v>2036</v>
      </c>
    </row>
    <row r="823" spans="1:20" ht="17" hidden="1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>
        <f t="shared" si="36"/>
        <v>291</v>
      </c>
      <c r="G823" t="s">
        <v>20</v>
      </c>
      <c r="H823">
        <v>210</v>
      </c>
      <c r="I823" s="4">
        <f t="shared" si="37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9">
        <f>(((L823/60)/60)/24)+DATE(1970,1,1)</f>
        <v>42794.25</v>
      </c>
      <c r="O823" s="9">
        <f t="shared" si="38"/>
        <v>42807.208333333328</v>
      </c>
      <c r="P823" t="b">
        <v>0</v>
      </c>
      <c r="Q823" t="b">
        <v>0</v>
      </c>
      <c r="R823" t="s">
        <v>42</v>
      </c>
      <c r="S823" t="s">
        <v>2041</v>
      </c>
      <c r="T823" t="s">
        <v>2042</v>
      </c>
    </row>
    <row r="824" spans="1:20" ht="17" hidden="1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>
        <f t="shared" si="36"/>
        <v>350</v>
      </c>
      <c r="G824" t="s">
        <v>20</v>
      </c>
      <c r="H824">
        <v>2100</v>
      </c>
      <c r="I824" s="4">
        <f t="shared" si="37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9">
        <f>(((L824/60)/60)/24)+DATE(1970,1,1)</f>
        <v>41698.25</v>
      </c>
      <c r="O824" s="9">
        <f t="shared" si="38"/>
        <v>41715.208333333336</v>
      </c>
      <c r="P824" t="b">
        <v>0</v>
      </c>
      <c r="Q824" t="b">
        <v>0</v>
      </c>
      <c r="R824" t="s">
        <v>23</v>
      </c>
      <c r="S824" t="s">
        <v>2035</v>
      </c>
      <c r="T824" t="s">
        <v>2036</v>
      </c>
    </row>
    <row r="825" spans="1:20" ht="34" hidden="1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>
        <f t="shared" si="36"/>
        <v>357</v>
      </c>
      <c r="G825" t="s">
        <v>20</v>
      </c>
      <c r="H825">
        <v>252</v>
      </c>
      <c r="I825" s="4">
        <f t="shared" si="37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9">
        <f>(((L825/60)/60)/24)+DATE(1970,1,1)</f>
        <v>41892.208333333336</v>
      </c>
      <c r="O825" s="9">
        <f t="shared" si="38"/>
        <v>41917.208333333336</v>
      </c>
      <c r="P825" t="b">
        <v>1</v>
      </c>
      <c r="Q825" t="b">
        <v>1</v>
      </c>
      <c r="R825" t="s">
        <v>23</v>
      </c>
      <c r="S825" t="s">
        <v>2035</v>
      </c>
      <c r="T825" t="s">
        <v>2036</v>
      </c>
    </row>
    <row r="826" spans="1:20" ht="17" hidden="1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>
        <f t="shared" si="36"/>
        <v>126</v>
      </c>
      <c r="G826" t="s">
        <v>20</v>
      </c>
      <c r="H826">
        <v>1280</v>
      </c>
      <c r="I826" s="4">
        <f t="shared" si="37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9">
        <f>(((L826/60)/60)/24)+DATE(1970,1,1)</f>
        <v>40348.208333333336</v>
      </c>
      <c r="O826" s="9">
        <f t="shared" si="38"/>
        <v>40380.208333333336</v>
      </c>
      <c r="P826" t="b">
        <v>0</v>
      </c>
      <c r="Q826" t="b">
        <v>1</v>
      </c>
      <c r="R826" t="s">
        <v>68</v>
      </c>
      <c r="S826" t="s">
        <v>2047</v>
      </c>
      <c r="T826" t="s">
        <v>2048</v>
      </c>
    </row>
    <row r="827" spans="1:20" ht="17" hidden="1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>
        <f t="shared" si="36"/>
        <v>388</v>
      </c>
      <c r="G827" t="s">
        <v>20</v>
      </c>
      <c r="H827">
        <v>157</v>
      </c>
      <c r="I827" s="4">
        <f t="shared" si="37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9">
        <f>(((L827/60)/60)/24)+DATE(1970,1,1)</f>
        <v>42941.208333333328</v>
      </c>
      <c r="O827" s="9">
        <f t="shared" si="38"/>
        <v>42953.208333333328</v>
      </c>
      <c r="P827" t="b">
        <v>0</v>
      </c>
      <c r="Q827" t="b">
        <v>0</v>
      </c>
      <c r="R827" t="s">
        <v>100</v>
      </c>
      <c r="S827" t="s">
        <v>2041</v>
      </c>
      <c r="T827" t="s">
        <v>2052</v>
      </c>
    </row>
    <row r="828" spans="1:20" ht="34" hidden="1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>
        <f t="shared" si="36"/>
        <v>457</v>
      </c>
      <c r="G828" t="s">
        <v>20</v>
      </c>
      <c r="H828">
        <v>194</v>
      </c>
      <c r="I828" s="4">
        <f t="shared" si="37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9">
        <f>(((L828/60)/60)/24)+DATE(1970,1,1)</f>
        <v>40525.25</v>
      </c>
      <c r="O828" s="9">
        <f t="shared" si="38"/>
        <v>40553.25</v>
      </c>
      <c r="P828" t="b">
        <v>0</v>
      </c>
      <c r="Q828" t="b">
        <v>1</v>
      </c>
      <c r="R828" t="s">
        <v>33</v>
      </c>
      <c r="S828" t="s">
        <v>2039</v>
      </c>
      <c r="T828" t="s">
        <v>2040</v>
      </c>
    </row>
    <row r="829" spans="1:20" ht="34" hidden="1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>
        <f t="shared" si="36"/>
        <v>267</v>
      </c>
      <c r="G829" t="s">
        <v>20</v>
      </c>
      <c r="H829">
        <v>82</v>
      </c>
      <c r="I829" s="4">
        <f t="shared" si="37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9">
        <f>(((L829/60)/60)/24)+DATE(1970,1,1)</f>
        <v>40666.208333333336</v>
      </c>
      <c r="O829" s="9">
        <f t="shared" si="38"/>
        <v>40678.208333333336</v>
      </c>
      <c r="P829" t="b">
        <v>0</v>
      </c>
      <c r="Q829" t="b">
        <v>1</v>
      </c>
      <c r="R829" t="s">
        <v>53</v>
      </c>
      <c r="S829" t="s">
        <v>2041</v>
      </c>
      <c r="T829" t="s">
        <v>2044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>
        <f t="shared" si="36"/>
        <v>69</v>
      </c>
      <c r="G830" t="s">
        <v>14</v>
      </c>
      <c r="H830">
        <v>70</v>
      </c>
      <c r="I830" s="4">
        <f t="shared" si="37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9">
        <f>(((L830/60)/60)/24)+DATE(1970,1,1)</f>
        <v>43340.208333333328</v>
      </c>
      <c r="O830" s="9">
        <f t="shared" si="38"/>
        <v>43365.208333333328</v>
      </c>
      <c r="P830" t="b">
        <v>0</v>
      </c>
      <c r="Q830" t="b">
        <v>0</v>
      </c>
      <c r="R830" t="s">
        <v>33</v>
      </c>
      <c r="S830" t="s">
        <v>2039</v>
      </c>
      <c r="T830" t="s">
        <v>2040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>
        <f t="shared" si="36"/>
        <v>51</v>
      </c>
      <c r="G831" t="s">
        <v>14</v>
      </c>
      <c r="H831">
        <v>154</v>
      </c>
      <c r="I831" s="4">
        <f t="shared" si="37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9">
        <f>(((L831/60)/60)/24)+DATE(1970,1,1)</f>
        <v>42164.208333333328</v>
      </c>
      <c r="O831" s="9">
        <f t="shared" si="38"/>
        <v>42179.208333333328</v>
      </c>
      <c r="P831" t="b">
        <v>0</v>
      </c>
      <c r="Q831" t="b">
        <v>0</v>
      </c>
      <c r="R831" t="s">
        <v>33</v>
      </c>
      <c r="S831" t="s">
        <v>2039</v>
      </c>
      <c r="T831" t="s">
        <v>2040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>
        <f t="shared" si="36"/>
        <v>1</v>
      </c>
      <c r="G832" t="s">
        <v>14</v>
      </c>
      <c r="H832">
        <v>22</v>
      </c>
      <c r="I832" s="4">
        <f t="shared" si="37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9">
        <f>(((L832/60)/60)/24)+DATE(1970,1,1)</f>
        <v>43103.25</v>
      </c>
      <c r="O832" s="9">
        <f t="shared" si="38"/>
        <v>43162.25</v>
      </c>
      <c r="P832" t="b">
        <v>0</v>
      </c>
      <c r="Q832" t="b">
        <v>0</v>
      </c>
      <c r="R832" t="s">
        <v>33</v>
      </c>
      <c r="S832" t="s">
        <v>2039</v>
      </c>
      <c r="T832" t="s">
        <v>2040</v>
      </c>
    </row>
    <row r="833" spans="1:20" ht="34" hidden="1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>
        <f t="shared" si="36"/>
        <v>109</v>
      </c>
      <c r="G833" t="s">
        <v>20</v>
      </c>
      <c r="H833">
        <v>4233</v>
      </c>
      <c r="I833" s="4">
        <f t="shared" si="37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9">
        <f>(((L833/60)/60)/24)+DATE(1970,1,1)</f>
        <v>40994.208333333336</v>
      </c>
      <c r="O833" s="9">
        <f t="shared" si="38"/>
        <v>41028.208333333336</v>
      </c>
      <c r="P833" t="b">
        <v>0</v>
      </c>
      <c r="Q833" t="b">
        <v>0</v>
      </c>
      <c r="R833" t="s">
        <v>122</v>
      </c>
      <c r="S833" t="s">
        <v>2054</v>
      </c>
      <c r="T833" t="s">
        <v>2055</v>
      </c>
    </row>
    <row r="834" spans="1:20" ht="17" hidden="1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>
        <f t="shared" si="36"/>
        <v>315</v>
      </c>
      <c r="G834" t="s">
        <v>20</v>
      </c>
      <c r="H834">
        <v>1297</v>
      </c>
      <c r="I834" s="4">
        <f t="shared" si="37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9">
        <f>(((L834/60)/60)/24)+DATE(1970,1,1)</f>
        <v>42299.208333333328</v>
      </c>
      <c r="O834" s="9">
        <f t="shared" si="38"/>
        <v>42333.25</v>
      </c>
      <c r="P834" t="b">
        <v>1</v>
      </c>
      <c r="Q834" t="b">
        <v>0</v>
      </c>
      <c r="R834" t="s">
        <v>206</v>
      </c>
      <c r="S834" t="s">
        <v>2047</v>
      </c>
      <c r="T834" t="s">
        <v>2059</v>
      </c>
    </row>
    <row r="835" spans="1:20" ht="17" hidden="1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>
        <f t="shared" ref="F835:F898" si="39">ROUND(E835/D835*100,0)</f>
        <v>158</v>
      </c>
      <c r="G835" t="s">
        <v>20</v>
      </c>
      <c r="H835">
        <v>165</v>
      </c>
      <c r="I835" s="4">
        <f t="shared" ref="I835:I898" si="40">AVERAGE(E835/H835)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9">
        <f>(((L835/60)/60)/24)+DATE(1970,1,1)</f>
        <v>40588.25</v>
      </c>
      <c r="O835" s="9">
        <f t="shared" ref="O835:O898" si="41">(((M835/60)/60)/24)+DATE(1970,1,1)</f>
        <v>40599.25</v>
      </c>
      <c r="P835" t="b">
        <v>0</v>
      </c>
      <c r="Q835" t="b">
        <v>0</v>
      </c>
      <c r="R835" t="s">
        <v>206</v>
      </c>
      <c r="S835" t="s">
        <v>2047</v>
      </c>
      <c r="T835" t="s">
        <v>2059</v>
      </c>
    </row>
    <row r="836" spans="1:20" ht="17" hidden="1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>
        <f t="shared" si="39"/>
        <v>154</v>
      </c>
      <c r="G836" t="s">
        <v>20</v>
      </c>
      <c r="H836">
        <v>119</v>
      </c>
      <c r="I836" s="4">
        <f t="shared" si="40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9">
        <f>(((L836/60)/60)/24)+DATE(1970,1,1)</f>
        <v>41448.208333333336</v>
      </c>
      <c r="O836" s="9">
        <f t="shared" si="41"/>
        <v>41454.208333333336</v>
      </c>
      <c r="P836" t="b">
        <v>0</v>
      </c>
      <c r="Q836" t="b">
        <v>0</v>
      </c>
      <c r="R836" t="s">
        <v>33</v>
      </c>
      <c r="S836" t="s">
        <v>2039</v>
      </c>
      <c r="T836" t="s">
        <v>2040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>
        <f t="shared" si="39"/>
        <v>90</v>
      </c>
      <c r="G837" t="s">
        <v>14</v>
      </c>
      <c r="H837">
        <v>1758</v>
      </c>
      <c r="I837" s="4">
        <f t="shared" si="40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9">
        <f>(((L837/60)/60)/24)+DATE(1970,1,1)</f>
        <v>42063.25</v>
      </c>
      <c r="O837" s="9">
        <f t="shared" si="41"/>
        <v>42069.25</v>
      </c>
      <c r="P837" t="b">
        <v>0</v>
      </c>
      <c r="Q837" t="b">
        <v>0</v>
      </c>
      <c r="R837" t="s">
        <v>28</v>
      </c>
      <c r="S837" t="s">
        <v>2037</v>
      </c>
      <c r="T837" t="s">
        <v>2038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>
        <f t="shared" si="39"/>
        <v>75</v>
      </c>
      <c r="G838" t="s">
        <v>14</v>
      </c>
      <c r="H838">
        <v>94</v>
      </c>
      <c r="I838" s="4">
        <f t="shared" si="40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9">
        <f>(((L838/60)/60)/24)+DATE(1970,1,1)</f>
        <v>40214.25</v>
      </c>
      <c r="O838" s="9">
        <f t="shared" si="41"/>
        <v>40225.25</v>
      </c>
      <c r="P838" t="b">
        <v>0</v>
      </c>
      <c r="Q838" t="b">
        <v>0</v>
      </c>
      <c r="R838" t="s">
        <v>60</v>
      </c>
      <c r="S838" t="s">
        <v>2035</v>
      </c>
      <c r="T838" t="s">
        <v>2045</v>
      </c>
    </row>
    <row r="839" spans="1:20" ht="17" hidden="1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>
        <f t="shared" si="39"/>
        <v>853</v>
      </c>
      <c r="G839" t="s">
        <v>20</v>
      </c>
      <c r="H839">
        <v>1797</v>
      </c>
      <c r="I839" s="4">
        <f t="shared" si="40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9">
        <f>(((L839/60)/60)/24)+DATE(1970,1,1)</f>
        <v>40629.208333333336</v>
      </c>
      <c r="O839" s="9">
        <f t="shared" si="41"/>
        <v>40683.208333333336</v>
      </c>
      <c r="P839" t="b">
        <v>0</v>
      </c>
      <c r="Q839" t="b">
        <v>0</v>
      </c>
      <c r="R839" t="s">
        <v>159</v>
      </c>
      <c r="S839" t="s">
        <v>2035</v>
      </c>
      <c r="T839" t="s">
        <v>2058</v>
      </c>
    </row>
    <row r="840" spans="1:20" ht="17" hidden="1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>
        <f t="shared" si="39"/>
        <v>139</v>
      </c>
      <c r="G840" t="s">
        <v>20</v>
      </c>
      <c r="H840">
        <v>261</v>
      </c>
      <c r="I840" s="4">
        <f t="shared" si="40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9">
        <f>(((L840/60)/60)/24)+DATE(1970,1,1)</f>
        <v>43370.208333333328</v>
      </c>
      <c r="O840" s="9">
        <f t="shared" si="41"/>
        <v>43379.208333333328</v>
      </c>
      <c r="P840" t="b">
        <v>0</v>
      </c>
      <c r="Q840" t="b">
        <v>0</v>
      </c>
      <c r="R840" t="s">
        <v>33</v>
      </c>
      <c r="S840" t="s">
        <v>2039</v>
      </c>
      <c r="T840" t="s">
        <v>2040</v>
      </c>
    </row>
    <row r="841" spans="1:20" ht="17" hidden="1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>
        <f t="shared" si="39"/>
        <v>190</v>
      </c>
      <c r="G841" t="s">
        <v>20</v>
      </c>
      <c r="H841">
        <v>157</v>
      </c>
      <c r="I841" s="4">
        <f t="shared" si="40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9">
        <f>(((L841/60)/60)/24)+DATE(1970,1,1)</f>
        <v>41715.208333333336</v>
      </c>
      <c r="O841" s="9">
        <f t="shared" si="41"/>
        <v>41760.208333333336</v>
      </c>
      <c r="P841" t="b">
        <v>0</v>
      </c>
      <c r="Q841" t="b">
        <v>1</v>
      </c>
      <c r="R841" t="s">
        <v>42</v>
      </c>
      <c r="S841" t="s">
        <v>2041</v>
      </c>
      <c r="T841" t="s">
        <v>2042</v>
      </c>
    </row>
    <row r="842" spans="1:20" ht="17" hidden="1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>
        <f t="shared" si="39"/>
        <v>100</v>
      </c>
      <c r="G842" t="s">
        <v>20</v>
      </c>
      <c r="H842">
        <v>3533</v>
      </c>
      <c r="I842" s="4">
        <f t="shared" si="40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9">
        <f>(((L842/60)/60)/24)+DATE(1970,1,1)</f>
        <v>41836.208333333336</v>
      </c>
      <c r="O842" s="9">
        <f t="shared" si="41"/>
        <v>41838.208333333336</v>
      </c>
      <c r="P842" t="b">
        <v>0</v>
      </c>
      <c r="Q842" t="b">
        <v>1</v>
      </c>
      <c r="R842" t="s">
        <v>33</v>
      </c>
      <c r="S842" t="s">
        <v>2039</v>
      </c>
      <c r="T842" t="s">
        <v>2040</v>
      </c>
    </row>
    <row r="843" spans="1:20" ht="17" hidden="1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>
        <f t="shared" si="39"/>
        <v>143</v>
      </c>
      <c r="G843" t="s">
        <v>20</v>
      </c>
      <c r="H843">
        <v>155</v>
      </c>
      <c r="I843" s="4">
        <f t="shared" si="40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9">
        <f>(((L843/60)/60)/24)+DATE(1970,1,1)</f>
        <v>42419.25</v>
      </c>
      <c r="O843" s="9">
        <f t="shared" si="41"/>
        <v>42435.25</v>
      </c>
      <c r="P843" t="b">
        <v>0</v>
      </c>
      <c r="Q843" t="b">
        <v>0</v>
      </c>
      <c r="R843" t="s">
        <v>28</v>
      </c>
      <c r="S843" t="s">
        <v>2037</v>
      </c>
      <c r="T843" t="s">
        <v>2038</v>
      </c>
    </row>
    <row r="844" spans="1:20" ht="34" hidden="1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>
        <f t="shared" si="39"/>
        <v>563</v>
      </c>
      <c r="G844" t="s">
        <v>20</v>
      </c>
      <c r="H844">
        <v>132</v>
      </c>
      <c r="I844" s="4">
        <f t="shared" si="40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9">
        <f>(((L844/60)/60)/24)+DATE(1970,1,1)</f>
        <v>43266.208333333328</v>
      </c>
      <c r="O844" s="9">
        <f t="shared" si="41"/>
        <v>43269.208333333328</v>
      </c>
      <c r="P844" t="b">
        <v>0</v>
      </c>
      <c r="Q844" t="b">
        <v>0</v>
      </c>
      <c r="R844" t="s">
        <v>65</v>
      </c>
      <c r="S844" t="s">
        <v>2037</v>
      </c>
      <c r="T844" t="s">
        <v>2046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>
        <f t="shared" si="39"/>
        <v>31</v>
      </c>
      <c r="G845" t="s">
        <v>14</v>
      </c>
      <c r="H845">
        <v>33</v>
      </c>
      <c r="I845" s="4">
        <f t="shared" si="40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9">
        <f>(((L845/60)/60)/24)+DATE(1970,1,1)</f>
        <v>43338.208333333328</v>
      </c>
      <c r="O845" s="9">
        <f t="shared" si="41"/>
        <v>43344.208333333328</v>
      </c>
      <c r="P845" t="b">
        <v>0</v>
      </c>
      <c r="Q845" t="b">
        <v>0</v>
      </c>
      <c r="R845" t="s">
        <v>122</v>
      </c>
      <c r="S845" t="s">
        <v>2054</v>
      </c>
      <c r="T845" t="s">
        <v>2055</v>
      </c>
    </row>
    <row r="846" spans="1:20" ht="17" hidden="1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>
        <f t="shared" si="39"/>
        <v>99</v>
      </c>
      <c r="G846" t="s">
        <v>74</v>
      </c>
      <c r="H846">
        <v>94</v>
      </c>
      <c r="I846" s="4">
        <f t="shared" si="40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9">
        <f>(((L846/60)/60)/24)+DATE(1970,1,1)</f>
        <v>40930.25</v>
      </c>
      <c r="O846" s="9">
        <f t="shared" si="41"/>
        <v>40933.25</v>
      </c>
      <c r="P846" t="b">
        <v>0</v>
      </c>
      <c r="Q846" t="b">
        <v>0</v>
      </c>
      <c r="R846" t="s">
        <v>42</v>
      </c>
      <c r="S846" t="s">
        <v>2041</v>
      </c>
      <c r="T846" t="s">
        <v>2042</v>
      </c>
    </row>
    <row r="847" spans="1:20" ht="17" hidden="1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>
        <f t="shared" si="39"/>
        <v>198</v>
      </c>
      <c r="G847" t="s">
        <v>20</v>
      </c>
      <c r="H847">
        <v>1354</v>
      </c>
      <c r="I847" s="4">
        <f t="shared" si="40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9">
        <f>(((L847/60)/60)/24)+DATE(1970,1,1)</f>
        <v>43235.208333333328</v>
      </c>
      <c r="O847" s="9">
        <f t="shared" si="41"/>
        <v>43272.208333333328</v>
      </c>
      <c r="P847" t="b">
        <v>0</v>
      </c>
      <c r="Q847" t="b">
        <v>0</v>
      </c>
      <c r="R847" t="s">
        <v>28</v>
      </c>
      <c r="S847" t="s">
        <v>2037</v>
      </c>
      <c r="T847" t="s">
        <v>2038</v>
      </c>
    </row>
    <row r="848" spans="1:20" ht="17" hidden="1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>
        <f t="shared" si="39"/>
        <v>509</v>
      </c>
      <c r="G848" t="s">
        <v>20</v>
      </c>
      <c r="H848">
        <v>48</v>
      </c>
      <c r="I848" s="4">
        <f t="shared" si="40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9">
        <f>(((L848/60)/60)/24)+DATE(1970,1,1)</f>
        <v>43302.208333333328</v>
      </c>
      <c r="O848" s="9">
        <f t="shared" si="41"/>
        <v>43338.208333333328</v>
      </c>
      <c r="P848" t="b">
        <v>1</v>
      </c>
      <c r="Q848" t="b">
        <v>1</v>
      </c>
      <c r="R848" t="s">
        <v>28</v>
      </c>
      <c r="S848" t="s">
        <v>2037</v>
      </c>
      <c r="T848" t="s">
        <v>2038</v>
      </c>
    </row>
    <row r="849" spans="1:20" ht="17" hidden="1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>
        <f t="shared" si="39"/>
        <v>238</v>
      </c>
      <c r="G849" t="s">
        <v>20</v>
      </c>
      <c r="H849">
        <v>110</v>
      </c>
      <c r="I849" s="4">
        <f t="shared" si="40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9">
        <f>(((L849/60)/60)/24)+DATE(1970,1,1)</f>
        <v>43107.25</v>
      </c>
      <c r="O849" s="9">
        <f t="shared" si="41"/>
        <v>43110.25</v>
      </c>
      <c r="P849" t="b">
        <v>0</v>
      </c>
      <c r="Q849" t="b">
        <v>0</v>
      </c>
      <c r="R849" t="s">
        <v>17</v>
      </c>
      <c r="S849" t="s">
        <v>2033</v>
      </c>
      <c r="T849" t="s">
        <v>2034</v>
      </c>
    </row>
    <row r="850" spans="1:20" ht="17" hidden="1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>
        <f t="shared" si="39"/>
        <v>338</v>
      </c>
      <c r="G850" t="s">
        <v>20</v>
      </c>
      <c r="H850">
        <v>172</v>
      </c>
      <c r="I850" s="4">
        <f t="shared" si="40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9">
        <f>(((L850/60)/60)/24)+DATE(1970,1,1)</f>
        <v>40341.208333333336</v>
      </c>
      <c r="O850" s="9">
        <f t="shared" si="41"/>
        <v>40350.208333333336</v>
      </c>
      <c r="P850" t="b">
        <v>0</v>
      </c>
      <c r="Q850" t="b">
        <v>0</v>
      </c>
      <c r="R850" t="s">
        <v>53</v>
      </c>
      <c r="S850" t="s">
        <v>2041</v>
      </c>
      <c r="T850" t="s">
        <v>2044</v>
      </c>
    </row>
    <row r="851" spans="1:20" ht="17" hidden="1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>
        <f t="shared" si="39"/>
        <v>133</v>
      </c>
      <c r="G851" t="s">
        <v>20</v>
      </c>
      <c r="H851">
        <v>307</v>
      </c>
      <c r="I851" s="4">
        <f t="shared" si="40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9">
        <f>(((L851/60)/60)/24)+DATE(1970,1,1)</f>
        <v>40948.25</v>
      </c>
      <c r="O851" s="9">
        <f t="shared" si="41"/>
        <v>40951.25</v>
      </c>
      <c r="P851" t="b">
        <v>0</v>
      </c>
      <c r="Q851" t="b">
        <v>1</v>
      </c>
      <c r="R851" t="s">
        <v>60</v>
      </c>
      <c r="S851" t="s">
        <v>2035</v>
      </c>
      <c r="T851" t="s">
        <v>2045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>
        <f t="shared" si="39"/>
        <v>1</v>
      </c>
      <c r="G852" t="s">
        <v>14</v>
      </c>
      <c r="H852">
        <v>1</v>
      </c>
      <c r="I852" s="4">
        <f t="shared" si="40"/>
        <v>1</v>
      </c>
      <c r="J852" t="s">
        <v>21</v>
      </c>
      <c r="K852" t="s">
        <v>22</v>
      </c>
      <c r="L852">
        <v>1321682400</v>
      </c>
      <c r="M852">
        <v>1322978400</v>
      </c>
      <c r="N852" s="9">
        <f>(((L852/60)/60)/24)+DATE(1970,1,1)</f>
        <v>40866.25</v>
      </c>
      <c r="O852" s="9">
        <f t="shared" si="41"/>
        <v>40881.25</v>
      </c>
      <c r="P852" t="b">
        <v>1</v>
      </c>
      <c r="Q852" t="b">
        <v>0</v>
      </c>
      <c r="R852" t="s">
        <v>23</v>
      </c>
      <c r="S852" t="s">
        <v>2035</v>
      </c>
      <c r="T852" t="s">
        <v>2036</v>
      </c>
    </row>
    <row r="853" spans="1:20" ht="34" hidden="1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>
        <f t="shared" si="39"/>
        <v>208</v>
      </c>
      <c r="G853" t="s">
        <v>20</v>
      </c>
      <c r="H853">
        <v>160</v>
      </c>
      <c r="I853" s="4">
        <f t="shared" si="40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9">
        <f>(((L853/60)/60)/24)+DATE(1970,1,1)</f>
        <v>41031.208333333336</v>
      </c>
      <c r="O853" s="9">
        <f t="shared" si="41"/>
        <v>41064.208333333336</v>
      </c>
      <c r="P853" t="b">
        <v>0</v>
      </c>
      <c r="Q853" t="b">
        <v>0</v>
      </c>
      <c r="R853" t="s">
        <v>50</v>
      </c>
      <c r="S853" t="s">
        <v>2035</v>
      </c>
      <c r="T853" t="s">
        <v>2043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>
        <f t="shared" si="39"/>
        <v>51</v>
      </c>
      <c r="G854" t="s">
        <v>14</v>
      </c>
      <c r="H854">
        <v>31</v>
      </c>
      <c r="I854" s="4">
        <f t="shared" si="40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9">
        <f>(((L854/60)/60)/24)+DATE(1970,1,1)</f>
        <v>40740.208333333336</v>
      </c>
      <c r="O854" s="9">
        <f t="shared" si="41"/>
        <v>40750.208333333336</v>
      </c>
      <c r="P854" t="b">
        <v>0</v>
      </c>
      <c r="Q854" t="b">
        <v>1</v>
      </c>
      <c r="R854" t="s">
        <v>89</v>
      </c>
      <c r="S854" t="s">
        <v>2050</v>
      </c>
      <c r="T854" t="s">
        <v>2051</v>
      </c>
    </row>
    <row r="855" spans="1:20" ht="17" hidden="1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>
        <f t="shared" si="39"/>
        <v>652</v>
      </c>
      <c r="G855" t="s">
        <v>20</v>
      </c>
      <c r="H855">
        <v>1467</v>
      </c>
      <c r="I855" s="4">
        <f t="shared" si="40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9">
        <f>(((L855/60)/60)/24)+DATE(1970,1,1)</f>
        <v>40714.208333333336</v>
      </c>
      <c r="O855" s="9">
        <f t="shared" si="41"/>
        <v>40719.208333333336</v>
      </c>
      <c r="P855" t="b">
        <v>0</v>
      </c>
      <c r="Q855" t="b">
        <v>1</v>
      </c>
      <c r="R855" t="s">
        <v>60</v>
      </c>
      <c r="S855" t="s">
        <v>2035</v>
      </c>
      <c r="T855" t="s">
        <v>2045</v>
      </c>
    </row>
    <row r="856" spans="1:20" ht="34" hidden="1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>
        <f t="shared" si="39"/>
        <v>114</v>
      </c>
      <c r="G856" t="s">
        <v>20</v>
      </c>
      <c r="H856">
        <v>2662</v>
      </c>
      <c r="I856" s="4">
        <f t="shared" si="40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9">
        <f>(((L856/60)/60)/24)+DATE(1970,1,1)</f>
        <v>43787.25</v>
      </c>
      <c r="O856" s="9">
        <f t="shared" si="41"/>
        <v>43814.25</v>
      </c>
      <c r="P856" t="b">
        <v>0</v>
      </c>
      <c r="Q856" t="b">
        <v>0</v>
      </c>
      <c r="R856" t="s">
        <v>119</v>
      </c>
      <c r="S856" t="s">
        <v>2047</v>
      </c>
      <c r="T856" t="s">
        <v>2053</v>
      </c>
    </row>
    <row r="857" spans="1:20" ht="17" hidden="1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>
        <f t="shared" si="39"/>
        <v>102</v>
      </c>
      <c r="G857" t="s">
        <v>20</v>
      </c>
      <c r="H857">
        <v>452</v>
      </c>
      <c r="I857" s="4">
        <f t="shared" si="40"/>
        <v>53</v>
      </c>
      <c r="J857" t="s">
        <v>26</v>
      </c>
      <c r="K857" t="s">
        <v>27</v>
      </c>
      <c r="L857">
        <v>1308373200</v>
      </c>
      <c r="M857">
        <v>1311051600</v>
      </c>
      <c r="N857" s="9">
        <f>(((L857/60)/60)/24)+DATE(1970,1,1)</f>
        <v>40712.208333333336</v>
      </c>
      <c r="O857" s="9">
        <f t="shared" si="41"/>
        <v>40743.208333333336</v>
      </c>
      <c r="P857" t="b">
        <v>0</v>
      </c>
      <c r="Q857" t="b">
        <v>0</v>
      </c>
      <c r="R857" t="s">
        <v>33</v>
      </c>
      <c r="S857" t="s">
        <v>2039</v>
      </c>
      <c r="T857" t="s">
        <v>2040</v>
      </c>
    </row>
    <row r="858" spans="1:20" ht="17" hidden="1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>
        <f t="shared" si="39"/>
        <v>357</v>
      </c>
      <c r="G858" t="s">
        <v>20</v>
      </c>
      <c r="H858">
        <v>158</v>
      </c>
      <c r="I858" s="4">
        <f t="shared" si="40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9">
        <f>(((L858/60)/60)/24)+DATE(1970,1,1)</f>
        <v>41023.208333333336</v>
      </c>
      <c r="O858" s="9">
        <f t="shared" si="41"/>
        <v>41040.208333333336</v>
      </c>
      <c r="P858" t="b">
        <v>0</v>
      </c>
      <c r="Q858" t="b">
        <v>0</v>
      </c>
      <c r="R858" t="s">
        <v>17</v>
      </c>
      <c r="S858" t="s">
        <v>2033</v>
      </c>
      <c r="T858" t="s">
        <v>2034</v>
      </c>
    </row>
    <row r="859" spans="1:20" ht="34" hidden="1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>
        <f t="shared" si="39"/>
        <v>140</v>
      </c>
      <c r="G859" t="s">
        <v>20</v>
      </c>
      <c r="H859">
        <v>225</v>
      </c>
      <c r="I859" s="4">
        <f t="shared" si="40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9">
        <f>(((L859/60)/60)/24)+DATE(1970,1,1)</f>
        <v>40944.25</v>
      </c>
      <c r="O859" s="9">
        <f t="shared" si="41"/>
        <v>40967.25</v>
      </c>
      <c r="P859" t="b">
        <v>1</v>
      </c>
      <c r="Q859" t="b">
        <v>0</v>
      </c>
      <c r="R859" t="s">
        <v>100</v>
      </c>
      <c r="S859" t="s">
        <v>2041</v>
      </c>
      <c r="T859" t="s">
        <v>2052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>
        <f t="shared" si="39"/>
        <v>69</v>
      </c>
      <c r="G860" t="s">
        <v>14</v>
      </c>
      <c r="H860">
        <v>35</v>
      </c>
      <c r="I860" s="4">
        <f t="shared" si="40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9">
        <f>(((L860/60)/60)/24)+DATE(1970,1,1)</f>
        <v>43211.208333333328</v>
      </c>
      <c r="O860" s="9">
        <f t="shared" si="41"/>
        <v>43218.208333333328</v>
      </c>
      <c r="P860" t="b">
        <v>1</v>
      </c>
      <c r="Q860" t="b">
        <v>0</v>
      </c>
      <c r="R860" t="s">
        <v>17</v>
      </c>
      <c r="S860" t="s">
        <v>2033</v>
      </c>
      <c r="T860" t="s">
        <v>2034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>
        <f t="shared" si="39"/>
        <v>36</v>
      </c>
      <c r="G861" t="s">
        <v>14</v>
      </c>
      <c r="H861">
        <v>63</v>
      </c>
      <c r="I861" s="4">
        <f t="shared" si="40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9">
        <f>(((L861/60)/60)/24)+DATE(1970,1,1)</f>
        <v>41334.25</v>
      </c>
      <c r="O861" s="9">
        <f t="shared" si="41"/>
        <v>41352.208333333336</v>
      </c>
      <c r="P861" t="b">
        <v>0</v>
      </c>
      <c r="Q861" t="b">
        <v>1</v>
      </c>
      <c r="R861" t="s">
        <v>33</v>
      </c>
      <c r="S861" t="s">
        <v>2039</v>
      </c>
      <c r="T861" t="s">
        <v>2040</v>
      </c>
    </row>
    <row r="862" spans="1:20" ht="34" hidden="1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>
        <f t="shared" si="39"/>
        <v>252</v>
      </c>
      <c r="G862" t="s">
        <v>20</v>
      </c>
      <c r="H862">
        <v>65</v>
      </c>
      <c r="I862" s="4">
        <f t="shared" si="40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9">
        <f>(((L862/60)/60)/24)+DATE(1970,1,1)</f>
        <v>43515.25</v>
      </c>
      <c r="O862" s="9">
        <f t="shared" si="41"/>
        <v>43525.25</v>
      </c>
      <c r="P862" t="b">
        <v>0</v>
      </c>
      <c r="Q862" t="b">
        <v>1</v>
      </c>
      <c r="R862" t="s">
        <v>65</v>
      </c>
      <c r="S862" t="s">
        <v>2037</v>
      </c>
      <c r="T862" t="s">
        <v>2046</v>
      </c>
    </row>
    <row r="863" spans="1:20" ht="17" hidden="1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>
        <f t="shared" si="39"/>
        <v>106</v>
      </c>
      <c r="G863" t="s">
        <v>20</v>
      </c>
      <c r="H863">
        <v>163</v>
      </c>
      <c r="I863" s="4">
        <f t="shared" si="40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9">
        <f>(((L863/60)/60)/24)+DATE(1970,1,1)</f>
        <v>40258.208333333336</v>
      </c>
      <c r="O863" s="9">
        <f t="shared" si="41"/>
        <v>40266.208333333336</v>
      </c>
      <c r="P863" t="b">
        <v>0</v>
      </c>
      <c r="Q863" t="b">
        <v>0</v>
      </c>
      <c r="R863" t="s">
        <v>33</v>
      </c>
      <c r="S863" t="s">
        <v>2039</v>
      </c>
      <c r="T863" t="s">
        <v>2040</v>
      </c>
    </row>
    <row r="864" spans="1:20" ht="17" hidden="1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>
        <f t="shared" si="39"/>
        <v>187</v>
      </c>
      <c r="G864" t="s">
        <v>20</v>
      </c>
      <c r="H864">
        <v>85</v>
      </c>
      <c r="I864" s="4">
        <f t="shared" si="40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9">
        <f>(((L864/60)/60)/24)+DATE(1970,1,1)</f>
        <v>40756.208333333336</v>
      </c>
      <c r="O864" s="9">
        <f t="shared" si="41"/>
        <v>40760.208333333336</v>
      </c>
      <c r="P864" t="b">
        <v>0</v>
      </c>
      <c r="Q864" t="b">
        <v>0</v>
      </c>
      <c r="R864" t="s">
        <v>33</v>
      </c>
      <c r="S864" t="s">
        <v>2039</v>
      </c>
      <c r="T864" t="s">
        <v>2040</v>
      </c>
    </row>
    <row r="865" spans="1:20" ht="17" hidden="1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>
        <f t="shared" si="39"/>
        <v>387</v>
      </c>
      <c r="G865" t="s">
        <v>20</v>
      </c>
      <c r="H865">
        <v>217</v>
      </c>
      <c r="I865" s="4">
        <f t="shared" si="40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9">
        <f>(((L865/60)/60)/24)+DATE(1970,1,1)</f>
        <v>42172.208333333328</v>
      </c>
      <c r="O865" s="9">
        <f t="shared" si="41"/>
        <v>42195.208333333328</v>
      </c>
      <c r="P865" t="b">
        <v>0</v>
      </c>
      <c r="Q865" t="b">
        <v>1</v>
      </c>
      <c r="R865" t="s">
        <v>269</v>
      </c>
      <c r="S865" t="s">
        <v>2041</v>
      </c>
      <c r="T865" t="s">
        <v>2060</v>
      </c>
    </row>
    <row r="866" spans="1:20" ht="17" hidden="1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>
        <f t="shared" si="39"/>
        <v>347</v>
      </c>
      <c r="G866" t="s">
        <v>20</v>
      </c>
      <c r="H866">
        <v>150</v>
      </c>
      <c r="I866" s="4">
        <f t="shared" si="40"/>
        <v>97.18</v>
      </c>
      <c r="J866" t="s">
        <v>21</v>
      </c>
      <c r="K866" t="s">
        <v>22</v>
      </c>
      <c r="L866">
        <v>1471582800</v>
      </c>
      <c r="M866">
        <v>1472014800</v>
      </c>
      <c r="N866" s="9">
        <f>(((L866/60)/60)/24)+DATE(1970,1,1)</f>
        <v>42601.208333333328</v>
      </c>
      <c r="O866" s="9">
        <f t="shared" si="41"/>
        <v>42606.208333333328</v>
      </c>
      <c r="P866" t="b">
        <v>0</v>
      </c>
      <c r="Q866" t="b">
        <v>0</v>
      </c>
      <c r="R866" t="s">
        <v>100</v>
      </c>
      <c r="S866" t="s">
        <v>2041</v>
      </c>
      <c r="T866" t="s">
        <v>2052</v>
      </c>
    </row>
    <row r="867" spans="1:20" ht="17" hidden="1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>
        <f t="shared" si="39"/>
        <v>186</v>
      </c>
      <c r="G867" t="s">
        <v>20</v>
      </c>
      <c r="H867">
        <v>3272</v>
      </c>
      <c r="I867" s="4">
        <f t="shared" si="40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9">
        <f>(((L867/60)/60)/24)+DATE(1970,1,1)</f>
        <v>41897.208333333336</v>
      </c>
      <c r="O867" s="9">
        <f t="shared" si="41"/>
        <v>41906.208333333336</v>
      </c>
      <c r="P867" t="b">
        <v>0</v>
      </c>
      <c r="Q867" t="b">
        <v>0</v>
      </c>
      <c r="R867" t="s">
        <v>33</v>
      </c>
      <c r="S867" t="s">
        <v>2039</v>
      </c>
      <c r="T867" t="s">
        <v>2040</v>
      </c>
    </row>
    <row r="868" spans="1:20" ht="17" hidden="1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>
        <f t="shared" si="39"/>
        <v>43</v>
      </c>
      <c r="G868" t="s">
        <v>74</v>
      </c>
      <c r="H868">
        <v>898</v>
      </c>
      <c r="I868" s="4">
        <f t="shared" si="40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9">
        <f>(((L868/60)/60)/24)+DATE(1970,1,1)</f>
        <v>40671.208333333336</v>
      </c>
      <c r="O868" s="9">
        <f t="shared" si="41"/>
        <v>40672.208333333336</v>
      </c>
      <c r="P868" t="b">
        <v>0</v>
      </c>
      <c r="Q868" t="b">
        <v>0</v>
      </c>
      <c r="R868" t="s">
        <v>122</v>
      </c>
      <c r="S868" t="s">
        <v>2054</v>
      </c>
      <c r="T868" t="s">
        <v>2055</v>
      </c>
    </row>
    <row r="869" spans="1:20" ht="34" hidden="1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>
        <f t="shared" si="39"/>
        <v>162</v>
      </c>
      <c r="G869" t="s">
        <v>20</v>
      </c>
      <c r="H869">
        <v>300</v>
      </c>
      <c r="I869" s="4">
        <f t="shared" si="40"/>
        <v>25.99</v>
      </c>
      <c r="J869" t="s">
        <v>21</v>
      </c>
      <c r="K869" t="s">
        <v>22</v>
      </c>
      <c r="L869">
        <v>1539061200</v>
      </c>
      <c r="M869">
        <v>1539579600</v>
      </c>
      <c r="N869" s="9">
        <f>(((L869/60)/60)/24)+DATE(1970,1,1)</f>
        <v>43382.208333333328</v>
      </c>
      <c r="O869" s="9">
        <f t="shared" si="41"/>
        <v>43388.208333333328</v>
      </c>
      <c r="P869" t="b">
        <v>0</v>
      </c>
      <c r="Q869" t="b">
        <v>0</v>
      </c>
      <c r="R869" t="s">
        <v>17</v>
      </c>
      <c r="S869" t="s">
        <v>2033</v>
      </c>
      <c r="T869" t="s">
        <v>2034</v>
      </c>
    </row>
    <row r="870" spans="1:20" ht="17" hidden="1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>
        <f t="shared" si="39"/>
        <v>185</v>
      </c>
      <c r="G870" t="s">
        <v>20</v>
      </c>
      <c r="H870">
        <v>126</v>
      </c>
      <c r="I870" s="4">
        <f t="shared" si="40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9">
        <f>(((L870/60)/60)/24)+DATE(1970,1,1)</f>
        <v>41559.208333333336</v>
      </c>
      <c r="O870" s="9">
        <f t="shared" si="41"/>
        <v>41570.208333333336</v>
      </c>
      <c r="P870" t="b">
        <v>0</v>
      </c>
      <c r="Q870" t="b">
        <v>0</v>
      </c>
      <c r="R870" t="s">
        <v>33</v>
      </c>
      <c r="S870" t="s">
        <v>2039</v>
      </c>
      <c r="T870" t="s">
        <v>2040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>
        <f t="shared" si="39"/>
        <v>24</v>
      </c>
      <c r="G871" t="s">
        <v>14</v>
      </c>
      <c r="H871">
        <v>526</v>
      </c>
      <c r="I871" s="4">
        <f t="shared" si="40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9">
        <f>(((L871/60)/60)/24)+DATE(1970,1,1)</f>
        <v>40350.208333333336</v>
      </c>
      <c r="O871" s="9">
        <f t="shared" si="41"/>
        <v>40364.208333333336</v>
      </c>
      <c r="P871" t="b">
        <v>0</v>
      </c>
      <c r="Q871" t="b">
        <v>0</v>
      </c>
      <c r="R871" t="s">
        <v>53</v>
      </c>
      <c r="S871" t="s">
        <v>2041</v>
      </c>
      <c r="T871" t="s">
        <v>2044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>
        <f t="shared" si="39"/>
        <v>90</v>
      </c>
      <c r="G872" t="s">
        <v>14</v>
      </c>
      <c r="H872">
        <v>121</v>
      </c>
      <c r="I872" s="4">
        <f t="shared" si="40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9">
        <f>(((L872/60)/60)/24)+DATE(1970,1,1)</f>
        <v>42240.208333333328</v>
      </c>
      <c r="O872" s="9">
        <f t="shared" si="41"/>
        <v>42265.208333333328</v>
      </c>
      <c r="P872" t="b">
        <v>0</v>
      </c>
      <c r="Q872" t="b">
        <v>0</v>
      </c>
      <c r="R872" t="s">
        <v>33</v>
      </c>
      <c r="S872" t="s">
        <v>2039</v>
      </c>
      <c r="T872" t="s">
        <v>2040</v>
      </c>
    </row>
    <row r="873" spans="1:20" ht="34" hidden="1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>
        <f t="shared" si="39"/>
        <v>273</v>
      </c>
      <c r="G873" t="s">
        <v>20</v>
      </c>
      <c r="H873">
        <v>2320</v>
      </c>
      <c r="I873" s="4">
        <f t="shared" si="40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9">
        <f>(((L873/60)/60)/24)+DATE(1970,1,1)</f>
        <v>43040.208333333328</v>
      </c>
      <c r="O873" s="9">
        <f t="shared" si="41"/>
        <v>43058.25</v>
      </c>
      <c r="P873" t="b">
        <v>0</v>
      </c>
      <c r="Q873" t="b">
        <v>1</v>
      </c>
      <c r="R873" t="s">
        <v>33</v>
      </c>
      <c r="S873" t="s">
        <v>2039</v>
      </c>
      <c r="T873" t="s">
        <v>2040</v>
      </c>
    </row>
    <row r="874" spans="1:20" ht="17" hidden="1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>
        <f t="shared" si="39"/>
        <v>170</v>
      </c>
      <c r="G874" t="s">
        <v>20</v>
      </c>
      <c r="H874">
        <v>81</v>
      </c>
      <c r="I874" s="4">
        <f t="shared" si="40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9">
        <f>(((L874/60)/60)/24)+DATE(1970,1,1)</f>
        <v>43346.208333333328</v>
      </c>
      <c r="O874" s="9">
        <f t="shared" si="41"/>
        <v>43351.208333333328</v>
      </c>
      <c r="P874" t="b">
        <v>0</v>
      </c>
      <c r="Q874" t="b">
        <v>0</v>
      </c>
      <c r="R874" t="s">
        <v>474</v>
      </c>
      <c r="S874" t="s">
        <v>2041</v>
      </c>
      <c r="T874" t="s">
        <v>2063</v>
      </c>
    </row>
    <row r="875" spans="1:20" ht="17" hidden="1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>
        <f t="shared" si="39"/>
        <v>188</v>
      </c>
      <c r="G875" t="s">
        <v>20</v>
      </c>
      <c r="H875">
        <v>1887</v>
      </c>
      <c r="I875" s="4">
        <f t="shared" si="40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9">
        <f>(((L875/60)/60)/24)+DATE(1970,1,1)</f>
        <v>41647.25</v>
      </c>
      <c r="O875" s="9">
        <f t="shared" si="41"/>
        <v>41652.25</v>
      </c>
      <c r="P875" t="b">
        <v>0</v>
      </c>
      <c r="Q875" t="b">
        <v>0</v>
      </c>
      <c r="R875" t="s">
        <v>122</v>
      </c>
      <c r="S875" t="s">
        <v>2054</v>
      </c>
      <c r="T875" t="s">
        <v>2055</v>
      </c>
    </row>
    <row r="876" spans="1:20" ht="17" hidden="1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>
        <f t="shared" si="39"/>
        <v>347</v>
      </c>
      <c r="G876" t="s">
        <v>20</v>
      </c>
      <c r="H876">
        <v>4358</v>
      </c>
      <c r="I876" s="4">
        <f t="shared" si="40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9">
        <f>(((L876/60)/60)/24)+DATE(1970,1,1)</f>
        <v>40291.208333333336</v>
      </c>
      <c r="O876" s="9">
        <f t="shared" si="41"/>
        <v>40329.208333333336</v>
      </c>
      <c r="P876" t="b">
        <v>0</v>
      </c>
      <c r="Q876" t="b">
        <v>1</v>
      </c>
      <c r="R876" t="s">
        <v>122</v>
      </c>
      <c r="S876" t="s">
        <v>2054</v>
      </c>
      <c r="T876" t="s">
        <v>2055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>
        <f t="shared" si="39"/>
        <v>69</v>
      </c>
      <c r="G877" t="s">
        <v>14</v>
      </c>
      <c r="H877">
        <v>67</v>
      </c>
      <c r="I877" s="4">
        <f t="shared" si="40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9">
        <f>(((L877/60)/60)/24)+DATE(1970,1,1)</f>
        <v>40556.25</v>
      </c>
      <c r="O877" s="9">
        <f t="shared" si="41"/>
        <v>40557.25</v>
      </c>
      <c r="P877" t="b">
        <v>0</v>
      </c>
      <c r="Q877" t="b">
        <v>0</v>
      </c>
      <c r="R877" t="s">
        <v>23</v>
      </c>
      <c r="S877" t="s">
        <v>2035</v>
      </c>
      <c r="T877" t="s">
        <v>2036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>
        <f t="shared" si="39"/>
        <v>25</v>
      </c>
      <c r="G878" t="s">
        <v>14</v>
      </c>
      <c r="H878">
        <v>57</v>
      </c>
      <c r="I878" s="4">
        <f t="shared" si="40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9">
        <f>(((L878/60)/60)/24)+DATE(1970,1,1)</f>
        <v>43624.208333333328</v>
      </c>
      <c r="O878" s="9">
        <f t="shared" si="41"/>
        <v>43648.208333333328</v>
      </c>
      <c r="P878" t="b">
        <v>0</v>
      </c>
      <c r="Q878" t="b">
        <v>0</v>
      </c>
      <c r="R878" t="s">
        <v>122</v>
      </c>
      <c r="S878" t="s">
        <v>2054</v>
      </c>
      <c r="T878" t="s">
        <v>2055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>
        <f t="shared" si="39"/>
        <v>77</v>
      </c>
      <c r="G879" t="s">
        <v>14</v>
      </c>
      <c r="H879">
        <v>1229</v>
      </c>
      <c r="I879" s="4">
        <f t="shared" si="40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9">
        <f>(((L879/60)/60)/24)+DATE(1970,1,1)</f>
        <v>42577.208333333328</v>
      </c>
      <c r="O879" s="9">
        <f t="shared" si="41"/>
        <v>42578.208333333328</v>
      </c>
      <c r="P879" t="b">
        <v>0</v>
      </c>
      <c r="Q879" t="b">
        <v>0</v>
      </c>
      <c r="R879" t="s">
        <v>17</v>
      </c>
      <c r="S879" t="s">
        <v>2033</v>
      </c>
      <c r="T879" t="s">
        <v>2034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>
        <f t="shared" si="39"/>
        <v>37</v>
      </c>
      <c r="G880" t="s">
        <v>14</v>
      </c>
      <c r="H880">
        <v>12</v>
      </c>
      <c r="I880" s="4">
        <f t="shared" si="40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9">
        <f>(((L880/60)/60)/24)+DATE(1970,1,1)</f>
        <v>43845.25</v>
      </c>
      <c r="O880" s="9">
        <f t="shared" si="41"/>
        <v>43869.25</v>
      </c>
      <c r="P880" t="b">
        <v>0</v>
      </c>
      <c r="Q880" t="b">
        <v>0</v>
      </c>
      <c r="R880" t="s">
        <v>148</v>
      </c>
      <c r="S880" t="s">
        <v>2035</v>
      </c>
      <c r="T880" t="s">
        <v>2057</v>
      </c>
    </row>
    <row r="881" spans="1:20" ht="17" hidden="1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>
        <f t="shared" si="39"/>
        <v>544</v>
      </c>
      <c r="G881" t="s">
        <v>20</v>
      </c>
      <c r="H881">
        <v>53</v>
      </c>
      <c r="I881" s="4">
        <f t="shared" si="40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9">
        <f>(((L881/60)/60)/24)+DATE(1970,1,1)</f>
        <v>42788.25</v>
      </c>
      <c r="O881" s="9">
        <f t="shared" si="41"/>
        <v>42797.25</v>
      </c>
      <c r="P881" t="b">
        <v>0</v>
      </c>
      <c r="Q881" t="b">
        <v>0</v>
      </c>
      <c r="R881" t="s">
        <v>68</v>
      </c>
      <c r="S881" t="s">
        <v>2047</v>
      </c>
      <c r="T881" t="s">
        <v>2048</v>
      </c>
    </row>
    <row r="882" spans="1:20" ht="17" hidden="1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>
        <f t="shared" si="39"/>
        <v>229</v>
      </c>
      <c r="G882" t="s">
        <v>20</v>
      </c>
      <c r="H882">
        <v>2414</v>
      </c>
      <c r="I882" s="4">
        <f t="shared" si="40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9">
        <f>(((L882/60)/60)/24)+DATE(1970,1,1)</f>
        <v>43667.208333333328</v>
      </c>
      <c r="O882" s="9">
        <f t="shared" si="41"/>
        <v>43669.208333333328</v>
      </c>
      <c r="P882" t="b">
        <v>0</v>
      </c>
      <c r="Q882" t="b">
        <v>0</v>
      </c>
      <c r="R882" t="s">
        <v>50</v>
      </c>
      <c r="S882" t="s">
        <v>2035</v>
      </c>
      <c r="T882" t="s">
        <v>2043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>
        <f t="shared" si="39"/>
        <v>39</v>
      </c>
      <c r="G883" t="s">
        <v>14</v>
      </c>
      <c r="H883">
        <v>452</v>
      </c>
      <c r="I883" s="4">
        <f t="shared" si="40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9">
        <f>(((L883/60)/60)/24)+DATE(1970,1,1)</f>
        <v>42194.208333333328</v>
      </c>
      <c r="O883" s="9">
        <f t="shared" si="41"/>
        <v>42223.208333333328</v>
      </c>
      <c r="P883" t="b">
        <v>0</v>
      </c>
      <c r="Q883" t="b">
        <v>1</v>
      </c>
      <c r="R883" t="s">
        <v>33</v>
      </c>
      <c r="S883" t="s">
        <v>2039</v>
      </c>
      <c r="T883" t="s">
        <v>2040</v>
      </c>
    </row>
    <row r="884" spans="1:20" ht="17" hidden="1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>
        <f t="shared" si="39"/>
        <v>370</v>
      </c>
      <c r="G884" t="s">
        <v>20</v>
      </c>
      <c r="H884">
        <v>80</v>
      </c>
      <c r="I884" s="4">
        <f t="shared" si="40"/>
        <v>37</v>
      </c>
      <c r="J884" t="s">
        <v>21</v>
      </c>
      <c r="K884" t="s">
        <v>22</v>
      </c>
      <c r="L884">
        <v>1421820000</v>
      </c>
      <c r="M884">
        <v>1422165600</v>
      </c>
      <c r="N884" s="9">
        <f>(((L884/60)/60)/24)+DATE(1970,1,1)</f>
        <v>42025.25</v>
      </c>
      <c r="O884" s="9">
        <f t="shared" si="41"/>
        <v>42029.25</v>
      </c>
      <c r="P884" t="b">
        <v>0</v>
      </c>
      <c r="Q884" t="b">
        <v>0</v>
      </c>
      <c r="R884" t="s">
        <v>33</v>
      </c>
      <c r="S884" t="s">
        <v>2039</v>
      </c>
      <c r="T884" t="s">
        <v>2040</v>
      </c>
    </row>
    <row r="885" spans="1:20" ht="34" hidden="1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>
        <f t="shared" si="39"/>
        <v>238</v>
      </c>
      <c r="G885" t="s">
        <v>20</v>
      </c>
      <c r="H885">
        <v>193</v>
      </c>
      <c r="I885" s="4">
        <f t="shared" si="40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9">
        <f>(((L885/60)/60)/24)+DATE(1970,1,1)</f>
        <v>40323.208333333336</v>
      </c>
      <c r="O885" s="9">
        <f t="shared" si="41"/>
        <v>40359.208333333336</v>
      </c>
      <c r="P885" t="b">
        <v>0</v>
      </c>
      <c r="Q885" t="b">
        <v>0</v>
      </c>
      <c r="R885" t="s">
        <v>100</v>
      </c>
      <c r="S885" t="s">
        <v>2041</v>
      </c>
      <c r="T885" t="s">
        <v>2052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>
        <f t="shared" si="39"/>
        <v>64</v>
      </c>
      <c r="G886" t="s">
        <v>14</v>
      </c>
      <c r="H886">
        <v>1886</v>
      </c>
      <c r="I886" s="4">
        <f t="shared" si="40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9">
        <f>(((L886/60)/60)/24)+DATE(1970,1,1)</f>
        <v>41763.208333333336</v>
      </c>
      <c r="O886" s="9">
        <f t="shared" si="41"/>
        <v>41765.208333333336</v>
      </c>
      <c r="P886" t="b">
        <v>0</v>
      </c>
      <c r="Q886" t="b">
        <v>1</v>
      </c>
      <c r="R886" t="s">
        <v>33</v>
      </c>
      <c r="S886" t="s">
        <v>2039</v>
      </c>
      <c r="T886" t="s">
        <v>2040</v>
      </c>
    </row>
    <row r="887" spans="1:20" ht="17" hidden="1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>
        <f t="shared" si="39"/>
        <v>118</v>
      </c>
      <c r="G887" t="s">
        <v>20</v>
      </c>
      <c r="H887">
        <v>52</v>
      </c>
      <c r="I887" s="4">
        <f t="shared" si="40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9">
        <f>(((L887/60)/60)/24)+DATE(1970,1,1)</f>
        <v>40335.208333333336</v>
      </c>
      <c r="O887" s="9">
        <f t="shared" si="41"/>
        <v>40373.208333333336</v>
      </c>
      <c r="P887" t="b">
        <v>0</v>
      </c>
      <c r="Q887" t="b">
        <v>0</v>
      </c>
      <c r="R887" t="s">
        <v>33</v>
      </c>
      <c r="S887" t="s">
        <v>2039</v>
      </c>
      <c r="T887" t="s">
        <v>2040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>
        <f t="shared" si="39"/>
        <v>85</v>
      </c>
      <c r="G888" t="s">
        <v>14</v>
      </c>
      <c r="H888">
        <v>1825</v>
      </c>
      <c r="I888" s="4">
        <f t="shared" si="40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9">
        <f>(((L888/60)/60)/24)+DATE(1970,1,1)</f>
        <v>40416.208333333336</v>
      </c>
      <c r="O888" s="9">
        <f t="shared" si="41"/>
        <v>40434.208333333336</v>
      </c>
      <c r="P888" t="b">
        <v>0</v>
      </c>
      <c r="Q888" t="b">
        <v>0</v>
      </c>
      <c r="R888" t="s">
        <v>60</v>
      </c>
      <c r="S888" t="s">
        <v>2035</v>
      </c>
      <c r="T888" t="s">
        <v>2045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>
        <f t="shared" si="39"/>
        <v>29</v>
      </c>
      <c r="G889" t="s">
        <v>14</v>
      </c>
      <c r="H889">
        <v>31</v>
      </c>
      <c r="I889" s="4">
        <f t="shared" si="40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9">
        <f>(((L889/60)/60)/24)+DATE(1970,1,1)</f>
        <v>42202.208333333328</v>
      </c>
      <c r="O889" s="9">
        <f t="shared" si="41"/>
        <v>42249.208333333328</v>
      </c>
      <c r="P889" t="b">
        <v>0</v>
      </c>
      <c r="Q889" t="b">
        <v>1</v>
      </c>
      <c r="R889" t="s">
        <v>33</v>
      </c>
      <c r="S889" t="s">
        <v>2039</v>
      </c>
      <c r="T889" t="s">
        <v>2040</v>
      </c>
    </row>
    <row r="890" spans="1:20" ht="34" hidden="1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>
        <f t="shared" si="39"/>
        <v>210</v>
      </c>
      <c r="G890" t="s">
        <v>20</v>
      </c>
      <c r="H890">
        <v>290</v>
      </c>
      <c r="I890" s="4">
        <f t="shared" si="40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9">
        <f>(((L890/60)/60)/24)+DATE(1970,1,1)</f>
        <v>42836.208333333328</v>
      </c>
      <c r="O890" s="9">
        <f t="shared" si="41"/>
        <v>42855.208333333328</v>
      </c>
      <c r="P890" t="b">
        <v>0</v>
      </c>
      <c r="Q890" t="b">
        <v>0</v>
      </c>
      <c r="R890" t="s">
        <v>33</v>
      </c>
      <c r="S890" t="s">
        <v>2039</v>
      </c>
      <c r="T890" t="s">
        <v>2040</v>
      </c>
    </row>
    <row r="891" spans="1:20" ht="17" hidden="1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>
        <f t="shared" si="39"/>
        <v>170</v>
      </c>
      <c r="G891" t="s">
        <v>20</v>
      </c>
      <c r="H891">
        <v>122</v>
      </c>
      <c r="I891" s="4">
        <f t="shared" si="40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9">
        <f>(((L891/60)/60)/24)+DATE(1970,1,1)</f>
        <v>41710.208333333336</v>
      </c>
      <c r="O891" s="9">
        <f t="shared" si="41"/>
        <v>41717.208333333336</v>
      </c>
      <c r="P891" t="b">
        <v>0</v>
      </c>
      <c r="Q891" t="b">
        <v>1</v>
      </c>
      <c r="R891" t="s">
        <v>50</v>
      </c>
      <c r="S891" t="s">
        <v>2035</v>
      </c>
      <c r="T891" t="s">
        <v>2043</v>
      </c>
    </row>
    <row r="892" spans="1:20" ht="17" hidden="1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>
        <f t="shared" si="39"/>
        <v>116</v>
      </c>
      <c r="G892" t="s">
        <v>20</v>
      </c>
      <c r="H892">
        <v>1470</v>
      </c>
      <c r="I892" s="4">
        <f t="shared" si="40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9">
        <f>(((L892/60)/60)/24)+DATE(1970,1,1)</f>
        <v>43640.208333333328</v>
      </c>
      <c r="O892" s="9">
        <f t="shared" si="41"/>
        <v>43641.208333333328</v>
      </c>
      <c r="P892" t="b">
        <v>0</v>
      </c>
      <c r="Q892" t="b">
        <v>0</v>
      </c>
      <c r="R892" t="s">
        <v>60</v>
      </c>
      <c r="S892" t="s">
        <v>2035</v>
      </c>
      <c r="T892" t="s">
        <v>2045</v>
      </c>
    </row>
    <row r="893" spans="1:20" ht="34" hidden="1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>
        <f t="shared" si="39"/>
        <v>259</v>
      </c>
      <c r="G893" t="s">
        <v>20</v>
      </c>
      <c r="H893">
        <v>165</v>
      </c>
      <c r="I893" s="4">
        <f t="shared" si="40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9">
        <f>(((L893/60)/60)/24)+DATE(1970,1,1)</f>
        <v>40880.25</v>
      </c>
      <c r="O893" s="9">
        <f t="shared" si="41"/>
        <v>40924.25</v>
      </c>
      <c r="P893" t="b">
        <v>0</v>
      </c>
      <c r="Q893" t="b">
        <v>0</v>
      </c>
      <c r="R893" t="s">
        <v>42</v>
      </c>
      <c r="S893" t="s">
        <v>2041</v>
      </c>
      <c r="T893" t="s">
        <v>2042</v>
      </c>
    </row>
    <row r="894" spans="1:20" ht="17" hidden="1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>
        <f t="shared" si="39"/>
        <v>231</v>
      </c>
      <c r="G894" t="s">
        <v>20</v>
      </c>
      <c r="H894">
        <v>182</v>
      </c>
      <c r="I894" s="4">
        <f t="shared" si="40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9">
        <f>(((L894/60)/60)/24)+DATE(1970,1,1)</f>
        <v>40319.208333333336</v>
      </c>
      <c r="O894" s="9">
        <f t="shared" si="41"/>
        <v>40360.208333333336</v>
      </c>
      <c r="P894" t="b">
        <v>0</v>
      </c>
      <c r="Q894" t="b">
        <v>0</v>
      </c>
      <c r="R894" t="s">
        <v>206</v>
      </c>
      <c r="S894" t="s">
        <v>2047</v>
      </c>
      <c r="T894" t="s">
        <v>2059</v>
      </c>
    </row>
    <row r="895" spans="1:20" ht="17" hidden="1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>
        <f t="shared" si="39"/>
        <v>128</v>
      </c>
      <c r="G895" t="s">
        <v>20</v>
      </c>
      <c r="H895">
        <v>199</v>
      </c>
      <c r="I895" s="4">
        <f t="shared" si="40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9">
        <f>(((L895/60)/60)/24)+DATE(1970,1,1)</f>
        <v>42170.208333333328</v>
      </c>
      <c r="O895" s="9">
        <f t="shared" si="41"/>
        <v>42174.208333333328</v>
      </c>
      <c r="P895" t="b">
        <v>0</v>
      </c>
      <c r="Q895" t="b">
        <v>1</v>
      </c>
      <c r="R895" t="s">
        <v>42</v>
      </c>
      <c r="S895" t="s">
        <v>2041</v>
      </c>
      <c r="T895" t="s">
        <v>2042</v>
      </c>
    </row>
    <row r="896" spans="1:20" ht="17" hidden="1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>
        <f t="shared" si="39"/>
        <v>189</v>
      </c>
      <c r="G896" t="s">
        <v>20</v>
      </c>
      <c r="H896">
        <v>56</v>
      </c>
      <c r="I896" s="4">
        <f t="shared" si="40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9">
        <f>(((L896/60)/60)/24)+DATE(1970,1,1)</f>
        <v>41466.208333333336</v>
      </c>
      <c r="O896" s="9">
        <f t="shared" si="41"/>
        <v>41496.208333333336</v>
      </c>
      <c r="P896" t="b">
        <v>0</v>
      </c>
      <c r="Q896" t="b">
        <v>1</v>
      </c>
      <c r="R896" t="s">
        <v>269</v>
      </c>
      <c r="S896" t="s">
        <v>2041</v>
      </c>
      <c r="T896" t="s">
        <v>2060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>
        <f t="shared" si="39"/>
        <v>7</v>
      </c>
      <c r="G897" t="s">
        <v>14</v>
      </c>
      <c r="H897">
        <v>107</v>
      </c>
      <c r="I897" s="4">
        <f t="shared" si="40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9">
        <f>(((L897/60)/60)/24)+DATE(1970,1,1)</f>
        <v>43134.25</v>
      </c>
      <c r="O897" s="9">
        <f t="shared" si="41"/>
        <v>43143.25</v>
      </c>
      <c r="P897" t="b">
        <v>0</v>
      </c>
      <c r="Q897" t="b">
        <v>0</v>
      </c>
      <c r="R897" t="s">
        <v>33</v>
      </c>
      <c r="S897" t="s">
        <v>2039</v>
      </c>
      <c r="T897" t="s">
        <v>2040</v>
      </c>
    </row>
    <row r="898" spans="1:20" ht="34" hidden="1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>
        <f t="shared" si="39"/>
        <v>774</v>
      </c>
      <c r="G898" t="s">
        <v>20</v>
      </c>
      <c r="H898">
        <v>1460</v>
      </c>
      <c r="I898" s="4">
        <f t="shared" si="40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9">
        <f>(((L898/60)/60)/24)+DATE(1970,1,1)</f>
        <v>40738.208333333336</v>
      </c>
      <c r="O898" s="9">
        <f t="shared" si="41"/>
        <v>40741.208333333336</v>
      </c>
      <c r="P898" t="b">
        <v>0</v>
      </c>
      <c r="Q898" t="b">
        <v>1</v>
      </c>
      <c r="R898" t="s">
        <v>17</v>
      </c>
      <c r="S898" t="s">
        <v>2033</v>
      </c>
      <c r="T898" t="s">
        <v>2034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>
        <f t="shared" ref="F899:F962" si="42">ROUND(E899/D899*100,0)</f>
        <v>28</v>
      </c>
      <c r="G899" t="s">
        <v>14</v>
      </c>
      <c r="H899">
        <v>27</v>
      </c>
      <c r="I899" s="4">
        <f t="shared" ref="I899:I962" si="43">AVERAGE(E899/H899)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9">
        <f>(((L899/60)/60)/24)+DATE(1970,1,1)</f>
        <v>43583.208333333328</v>
      </c>
      <c r="O899" s="9">
        <f t="shared" ref="O899:O962" si="44">(((M899/60)/60)/24)+DATE(1970,1,1)</f>
        <v>43585.208333333328</v>
      </c>
      <c r="P899" t="b">
        <v>0</v>
      </c>
      <c r="Q899" t="b">
        <v>0</v>
      </c>
      <c r="R899" t="s">
        <v>33</v>
      </c>
      <c r="S899" t="s">
        <v>2039</v>
      </c>
      <c r="T899" t="s">
        <v>2040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>
        <f t="shared" si="42"/>
        <v>52</v>
      </c>
      <c r="G900" t="s">
        <v>14</v>
      </c>
      <c r="H900">
        <v>1221</v>
      </c>
      <c r="I900" s="4">
        <f t="shared" si="43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9">
        <f>(((L900/60)/60)/24)+DATE(1970,1,1)</f>
        <v>43815.25</v>
      </c>
      <c r="O900" s="9">
        <f t="shared" si="44"/>
        <v>43821.25</v>
      </c>
      <c r="P900" t="b">
        <v>0</v>
      </c>
      <c r="Q900" t="b">
        <v>0</v>
      </c>
      <c r="R900" t="s">
        <v>42</v>
      </c>
      <c r="S900" t="s">
        <v>2041</v>
      </c>
      <c r="T900" t="s">
        <v>2042</v>
      </c>
    </row>
    <row r="901" spans="1:20" ht="17" hidden="1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>
        <f t="shared" si="42"/>
        <v>407</v>
      </c>
      <c r="G901" t="s">
        <v>20</v>
      </c>
      <c r="H901">
        <v>123</v>
      </c>
      <c r="I901" s="4">
        <f t="shared" si="43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9">
        <f>(((L901/60)/60)/24)+DATE(1970,1,1)</f>
        <v>41554.208333333336</v>
      </c>
      <c r="O901" s="9">
        <f t="shared" si="44"/>
        <v>41572.208333333336</v>
      </c>
      <c r="P901" t="b">
        <v>0</v>
      </c>
      <c r="Q901" t="b">
        <v>0</v>
      </c>
      <c r="R901" t="s">
        <v>159</v>
      </c>
      <c r="S901" t="s">
        <v>2035</v>
      </c>
      <c r="T901" t="s">
        <v>2058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>
        <f t="shared" si="42"/>
        <v>2</v>
      </c>
      <c r="G902" t="s">
        <v>14</v>
      </c>
      <c r="H902">
        <v>1</v>
      </c>
      <c r="I902" s="4">
        <f t="shared" si="43"/>
        <v>2</v>
      </c>
      <c r="J902" t="s">
        <v>21</v>
      </c>
      <c r="K902" t="s">
        <v>22</v>
      </c>
      <c r="L902">
        <v>1411102800</v>
      </c>
      <c r="M902">
        <v>1411189200</v>
      </c>
      <c r="N902" s="9">
        <f>(((L902/60)/60)/24)+DATE(1970,1,1)</f>
        <v>41901.208333333336</v>
      </c>
      <c r="O902" s="9">
        <f t="shared" si="44"/>
        <v>41902.208333333336</v>
      </c>
      <c r="P902" t="b">
        <v>0</v>
      </c>
      <c r="Q902" t="b">
        <v>1</v>
      </c>
      <c r="R902" t="s">
        <v>28</v>
      </c>
      <c r="S902" t="s">
        <v>2037</v>
      </c>
      <c r="T902" t="s">
        <v>2038</v>
      </c>
    </row>
    <row r="903" spans="1:20" ht="17" hidden="1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>
        <f t="shared" si="42"/>
        <v>156</v>
      </c>
      <c r="G903" t="s">
        <v>20</v>
      </c>
      <c r="H903">
        <v>159</v>
      </c>
      <c r="I903" s="4">
        <f t="shared" si="43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9">
        <f>(((L903/60)/60)/24)+DATE(1970,1,1)</f>
        <v>43298.208333333328</v>
      </c>
      <c r="O903" s="9">
        <f t="shared" si="44"/>
        <v>43331.208333333328</v>
      </c>
      <c r="P903" t="b">
        <v>0</v>
      </c>
      <c r="Q903" t="b">
        <v>1</v>
      </c>
      <c r="R903" t="s">
        <v>23</v>
      </c>
      <c r="S903" t="s">
        <v>2035</v>
      </c>
      <c r="T903" t="s">
        <v>2036</v>
      </c>
    </row>
    <row r="904" spans="1:20" ht="17" hidden="1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>
        <f t="shared" si="42"/>
        <v>252</v>
      </c>
      <c r="G904" t="s">
        <v>20</v>
      </c>
      <c r="H904">
        <v>110</v>
      </c>
      <c r="I904" s="4">
        <f t="shared" si="43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9">
        <f>(((L904/60)/60)/24)+DATE(1970,1,1)</f>
        <v>42399.25</v>
      </c>
      <c r="O904" s="9">
        <f t="shared" si="44"/>
        <v>42441.25</v>
      </c>
      <c r="P904" t="b">
        <v>0</v>
      </c>
      <c r="Q904" t="b">
        <v>0</v>
      </c>
      <c r="R904" t="s">
        <v>28</v>
      </c>
      <c r="S904" t="s">
        <v>2037</v>
      </c>
      <c r="T904" t="s">
        <v>2038</v>
      </c>
    </row>
    <row r="905" spans="1:20" ht="34" hidden="1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>
        <f t="shared" si="42"/>
        <v>2</v>
      </c>
      <c r="G905" t="s">
        <v>47</v>
      </c>
      <c r="H905">
        <v>14</v>
      </c>
      <c r="I905" s="4">
        <f t="shared" si="43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9">
        <f>(((L905/60)/60)/24)+DATE(1970,1,1)</f>
        <v>41034.208333333336</v>
      </c>
      <c r="O905" s="9">
        <f t="shared" si="44"/>
        <v>41049.208333333336</v>
      </c>
      <c r="P905" t="b">
        <v>0</v>
      </c>
      <c r="Q905" t="b">
        <v>1</v>
      </c>
      <c r="R905" t="s">
        <v>68</v>
      </c>
      <c r="S905" t="s">
        <v>2047</v>
      </c>
      <c r="T905" t="s">
        <v>2048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>
        <f t="shared" si="42"/>
        <v>12</v>
      </c>
      <c r="G906" t="s">
        <v>14</v>
      </c>
      <c r="H906">
        <v>16</v>
      </c>
      <c r="I906" s="4">
        <f t="shared" si="43"/>
        <v>49.6875</v>
      </c>
      <c r="J906" t="s">
        <v>21</v>
      </c>
      <c r="K906" t="s">
        <v>22</v>
      </c>
      <c r="L906">
        <v>1349326800</v>
      </c>
      <c r="M906">
        <v>1349672400</v>
      </c>
      <c r="N906" s="9">
        <f>(((L906/60)/60)/24)+DATE(1970,1,1)</f>
        <v>41186.208333333336</v>
      </c>
      <c r="O906" s="9">
        <f t="shared" si="44"/>
        <v>41190.208333333336</v>
      </c>
      <c r="P906" t="b">
        <v>0</v>
      </c>
      <c r="Q906" t="b">
        <v>0</v>
      </c>
      <c r="R906" t="s">
        <v>133</v>
      </c>
      <c r="S906" t="s">
        <v>2047</v>
      </c>
      <c r="T906" t="s">
        <v>2056</v>
      </c>
    </row>
    <row r="907" spans="1:20" ht="17" hidden="1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>
        <f t="shared" si="42"/>
        <v>164</v>
      </c>
      <c r="G907" t="s">
        <v>20</v>
      </c>
      <c r="H907">
        <v>236</v>
      </c>
      <c r="I907" s="4">
        <f t="shared" si="43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9">
        <f>(((L907/60)/60)/24)+DATE(1970,1,1)</f>
        <v>41536.208333333336</v>
      </c>
      <c r="O907" s="9">
        <f t="shared" si="44"/>
        <v>41539.208333333336</v>
      </c>
      <c r="P907" t="b">
        <v>0</v>
      </c>
      <c r="Q907" t="b">
        <v>0</v>
      </c>
      <c r="R907" t="s">
        <v>33</v>
      </c>
      <c r="S907" t="s">
        <v>2039</v>
      </c>
      <c r="T907" t="s">
        <v>2040</v>
      </c>
    </row>
    <row r="908" spans="1:20" ht="34" hidden="1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>
        <f t="shared" si="42"/>
        <v>163</v>
      </c>
      <c r="G908" t="s">
        <v>20</v>
      </c>
      <c r="H908">
        <v>191</v>
      </c>
      <c r="I908" s="4">
        <f t="shared" si="43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9">
        <f>(((L908/60)/60)/24)+DATE(1970,1,1)</f>
        <v>42868.208333333328</v>
      </c>
      <c r="O908" s="9">
        <f t="shared" si="44"/>
        <v>42904.208333333328</v>
      </c>
      <c r="P908" t="b">
        <v>1</v>
      </c>
      <c r="Q908" t="b">
        <v>1</v>
      </c>
      <c r="R908" t="s">
        <v>42</v>
      </c>
      <c r="S908" t="s">
        <v>2041</v>
      </c>
      <c r="T908" t="s">
        <v>2042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>
        <f t="shared" si="42"/>
        <v>20</v>
      </c>
      <c r="G909" t="s">
        <v>14</v>
      </c>
      <c r="H909">
        <v>41</v>
      </c>
      <c r="I909" s="4">
        <f t="shared" si="43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9">
        <f>(((L909/60)/60)/24)+DATE(1970,1,1)</f>
        <v>40660.208333333336</v>
      </c>
      <c r="O909" s="9">
        <f t="shared" si="44"/>
        <v>40667.208333333336</v>
      </c>
      <c r="P909" t="b">
        <v>0</v>
      </c>
      <c r="Q909" t="b">
        <v>0</v>
      </c>
      <c r="R909" t="s">
        <v>33</v>
      </c>
      <c r="S909" t="s">
        <v>2039</v>
      </c>
      <c r="T909" t="s">
        <v>2040</v>
      </c>
    </row>
    <row r="910" spans="1:20" ht="17" hidden="1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>
        <f t="shared" si="42"/>
        <v>319</v>
      </c>
      <c r="G910" t="s">
        <v>20</v>
      </c>
      <c r="H910">
        <v>3934</v>
      </c>
      <c r="I910" s="4">
        <f t="shared" si="43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9">
        <f>(((L910/60)/60)/24)+DATE(1970,1,1)</f>
        <v>41031.208333333336</v>
      </c>
      <c r="O910" s="9">
        <f t="shared" si="44"/>
        <v>41042.208333333336</v>
      </c>
      <c r="P910" t="b">
        <v>0</v>
      </c>
      <c r="Q910" t="b">
        <v>0</v>
      </c>
      <c r="R910" t="s">
        <v>89</v>
      </c>
      <c r="S910" t="s">
        <v>2050</v>
      </c>
      <c r="T910" t="s">
        <v>2051</v>
      </c>
    </row>
    <row r="911" spans="1:20" ht="17" hidden="1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>
        <f t="shared" si="42"/>
        <v>479</v>
      </c>
      <c r="G911" t="s">
        <v>20</v>
      </c>
      <c r="H911">
        <v>80</v>
      </c>
      <c r="I911" s="4">
        <f t="shared" si="43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9">
        <f>(((L911/60)/60)/24)+DATE(1970,1,1)</f>
        <v>43255.208333333328</v>
      </c>
      <c r="O911" s="9">
        <f t="shared" si="44"/>
        <v>43282.208333333328</v>
      </c>
      <c r="P911" t="b">
        <v>0</v>
      </c>
      <c r="Q911" t="b">
        <v>1</v>
      </c>
      <c r="R911" t="s">
        <v>33</v>
      </c>
      <c r="S911" t="s">
        <v>2039</v>
      </c>
      <c r="T911" t="s">
        <v>2040</v>
      </c>
    </row>
    <row r="912" spans="1:20" ht="17" hidden="1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>
        <f t="shared" si="42"/>
        <v>20</v>
      </c>
      <c r="G912" t="s">
        <v>74</v>
      </c>
      <c r="H912">
        <v>296</v>
      </c>
      <c r="I912" s="4">
        <f t="shared" si="43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9">
        <f>(((L912/60)/60)/24)+DATE(1970,1,1)</f>
        <v>42026.25</v>
      </c>
      <c r="O912" s="9">
        <f t="shared" si="44"/>
        <v>42027.25</v>
      </c>
      <c r="P912" t="b">
        <v>0</v>
      </c>
      <c r="Q912" t="b">
        <v>0</v>
      </c>
      <c r="R912" t="s">
        <v>33</v>
      </c>
      <c r="S912" t="s">
        <v>2039</v>
      </c>
      <c r="T912" t="s">
        <v>2040</v>
      </c>
    </row>
    <row r="913" spans="1:20" ht="17" hidden="1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>
        <f t="shared" si="42"/>
        <v>199</v>
      </c>
      <c r="G913" t="s">
        <v>20</v>
      </c>
      <c r="H913">
        <v>462</v>
      </c>
      <c r="I913" s="4">
        <f t="shared" si="43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9">
        <f>(((L913/60)/60)/24)+DATE(1970,1,1)</f>
        <v>43717.208333333328</v>
      </c>
      <c r="O913" s="9">
        <f t="shared" si="44"/>
        <v>43719.208333333328</v>
      </c>
      <c r="P913" t="b">
        <v>1</v>
      </c>
      <c r="Q913" t="b">
        <v>0</v>
      </c>
      <c r="R913" t="s">
        <v>28</v>
      </c>
      <c r="S913" t="s">
        <v>2037</v>
      </c>
      <c r="T913" t="s">
        <v>2038</v>
      </c>
    </row>
    <row r="914" spans="1:20" ht="17" hidden="1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>
        <f t="shared" si="42"/>
        <v>795</v>
      </c>
      <c r="G914" t="s">
        <v>20</v>
      </c>
      <c r="H914">
        <v>179</v>
      </c>
      <c r="I914" s="4">
        <f t="shared" si="43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9">
        <f>(((L914/60)/60)/24)+DATE(1970,1,1)</f>
        <v>41157.208333333336</v>
      </c>
      <c r="O914" s="9">
        <f t="shared" si="44"/>
        <v>41170.208333333336</v>
      </c>
      <c r="P914" t="b">
        <v>1</v>
      </c>
      <c r="Q914" t="b">
        <v>0</v>
      </c>
      <c r="R914" t="s">
        <v>53</v>
      </c>
      <c r="S914" t="s">
        <v>2041</v>
      </c>
      <c r="T914" t="s">
        <v>2044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>
        <f t="shared" si="42"/>
        <v>51</v>
      </c>
      <c r="G915" t="s">
        <v>14</v>
      </c>
      <c r="H915">
        <v>523</v>
      </c>
      <c r="I915" s="4">
        <f t="shared" si="43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9">
        <f>(((L915/60)/60)/24)+DATE(1970,1,1)</f>
        <v>43597.208333333328</v>
      </c>
      <c r="O915" s="9">
        <f t="shared" si="44"/>
        <v>43610.208333333328</v>
      </c>
      <c r="P915" t="b">
        <v>0</v>
      </c>
      <c r="Q915" t="b">
        <v>0</v>
      </c>
      <c r="R915" t="s">
        <v>53</v>
      </c>
      <c r="S915" t="s">
        <v>2041</v>
      </c>
      <c r="T915" t="s">
        <v>2044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>
        <f t="shared" si="42"/>
        <v>57</v>
      </c>
      <c r="G916" t="s">
        <v>14</v>
      </c>
      <c r="H916">
        <v>141</v>
      </c>
      <c r="I916" s="4">
        <f t="shared" si="43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9">
        <f>(((L916/60)/60)/24)+DATE(1970,1,1)</f>
        <v>41490.208333333336</v>
      </c>
      <c r="O916" s="9">
        <f t="shared" si="44"/>
        <v>41502.208333333336</v>
      </c>
      <c r="P916" t="b">
        <v>0</v>
      </c>
      <c r="Q916" t="b">
        <v>0</v>
      </c>
      <c r="R916" t="s">
        <v>33</v>
      </c>
      <c r="S916" t="s">
        <v>2039</v>
      </c>
      <c r="T916" t="s">
        <v>2040</v>
      </c>
    </row>
    <row r="917" spans="1:20" ht="17" hidden="1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>
        <f t="shared" si="42"/>
        <v>156</v>
      </c>
      <c r="G917" t="s">
        <v>20</v>
      </c>
      <c r="H917">
        <v>1866</v>
      </c>
      <c r="I917" s="4">
        <f t="shared" si="43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9">
        <f>(((L917/60)/60)/24)+DATE(1970,1,1)</f>
        <v>42976.208333333328</v>
      </c>
      <c r="O917" s="9">
        <f t="shared" si="44"/>
        <v>42985.208333333328</v>
      </c>
      <c r="P917" t="b">
        <v>0</v>
      </c>
      <c r="Q917" t="b">
        <v>0</v>
      </c>
      <c r="R917" t="s">
        <v>269</v>
      </c>
      <c r="S917" t="s">
        <v>2041</v>
      </c>
      <c r="T917" t="s">
        <v>2060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>
        <f t="shared" si="42"/>
        <v>36</v>
      </c>
      <c r="G918" t="s">
        <v>14</v>
      </c>
      <c r="H918">
        <v>52</v>
      </c>
      <c r="I918" s="4">
        <f t="shared" si="43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9">
        <f>(((L918/60)/60)/24)+DATE(1970,1,1)</f>
        <v>41991.25</v>
      </c>
      <c r="O918" s="9">
        <f t="shared" si="44"/>
        <v>42000.25</v>
      </c>
      <c r="P918" t="b">
        <v>0</v>
      </c>
      <c r="Q918" t="b">
        <v>0</v>
      </c>
      <c r="R918" t="s">
        <v>122</v>
      </c>
      <c r="S918" t="s">
        <v>2054</v>
      </c>
      <c r="T918" t="s">
        <v>2055</v>
      </c>
    </row>
    <row r="919" spans="1:20" ht="17" hidden="1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>
        <f t="shared" si="42"/>
        <v>58</v>
      </c>
      <c r="G919" t="s">
        <v>47</v>
      </c>
      <c r="H919">
        <v>27</v>
      </c>
      <c r="I919" s="4">
        <f t="shared" si="43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9">
        <f>(((L919/60)/60)/24)+DATE(1970,1,1)</f>
        <v>40722.208333333336</v>
      </c>
      <c r="O919" s="9">
        <f t="shared" si="44"/>
        <v>40746.208333333336</v>
      </c>
      <c r="P919" t="b">
        <v>0</v>
      </c>
      <c r="Q919" t="b">
        <v>1</v>
      </c>
      <c r="R919" t="s">
        <v>100</v>
      </c>
      <c r="S919" t="s">
        <v>2041</v>
      </c>
      <c r="T919" t="s">
        <v>2052</v>
      </c>
    </row>
    <row r="920" spans="1:20" ht="17" hidden="1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>
        <f t="shared" si="42"/>
        <v>237</v>
      </c>
      <c r="G920" t="s">
        <v>20</v>
      </c>
      <c r="H920">
        <v>156</v>
      </c>
      <c r="I920" s="4">
        <f t="shared" si="43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9">
        <f>(((L920/60)/60)/24)+DATE(1970,1,1)</f>
        <v>41117.208333333336</v>
      </c>
      <c r="O920" s="9">
        <f t="shared" si="44"/>
        <v>41128.208333333336</v>
      </c>
      <c r="P920" t="b">
        <v>0</v>
      </c>
      <c r="Q920" t="b">
        <v>0</v>
      </c>
      <c r="R920" t="s">
        <v>133</v>
      </c>
      <c r="S920" t="s">
        <v>2047</v>
      </c>
      <c r="T920" t="s">
        <v>2056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>
        <f t="shared" si="42"/>
        <v>59</v>
      </c>
      <c r="G921" t="s">
        <v>14</v>
      </c>
      <c r="H921">
        <v>225</v>
      </c>
      <c r="I921" s="4">
        <f t="shared" si="43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9">
        <f>(((L921/60)/60)/24)+DATE(1970,1,1)</f>
        <v>43022.208333333328</v>
      </c>
      <c r="O921" s="9">
        <f t="shared" si="44"/>
        <v>43054.25</v>
      </c>
      <c r="P921" t="b">
        <v>0</v>
      </c>
      <c r="Q921" t="b">
        <v>1</v>
      </c>
      <c r="R921" t="s">
        <v>33</v>
      </c>
      <c r="S921" t="s">
        <v>2039</v>
      </c>
      <c r="T921" t="s">
        <v>2040</v>
      </c>
    </row>
    <row r="922" spans="1:20" ht="17" hidden="1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>
        <f t="shared" si="42"/>
        <v>183</v>
      </c>
      <c r="G922" t="s">
        <v>20</v>
      </c>
      <c r="H922">
        <v>255</v>
      </c>
      <c r="I922" s="4">
        <f t="shared" si="43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9">
        <f>(((L922/60)/60)/24)+DATE(1970,1,1)</f>
        <v>43503.25</v>
      </c>
      <c r="O922" s="9">
        <f t="shared" si="44"/>
        <v>43523.25</v>
      </c>
      <c r="P922" t="b">
        <v>1</v>
      </c>
      <c r="Q922" t="b">
        <v>0</v>
      </c>
      <c r="R922" t="s">
        <v>71</v>
      </c>
      <c r="S922" t="s">
        <v>2041</v>
      </c>
      <c r="T922" t="s">
        <v>2049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>
        <f t="shared" si="42"/>
        <v>1</v>
      </c>
      <c r="G923" t="s">
        <v>14</v>
      </c>
      <c r="H923">
        <v>38</v>
      </c>
      <c r="I923" s="4">
        <f t="shared" si="43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9">
        <f>(((L923/60)/60)/24)+DATE(1970,1,1)</f>
        <v>40951.25</v>
      </c>
      <c r="O923" s="9">
        <f t="shared" si="44"/>
        <v>40965.25</v>
      </c>
      <c r="P923" t="b">
        <v>0</v>
      </c>
      <c r="Q923" t="b">
        <v>0</v>
      </c>
      <c r="R923" t="s">
        <v>28</v>
      </c>
      <c r="S923" t="s">
        <v>2037</v>
      </c>
      <c r="T923" t="s">
        <v>2038</v>
      </c>
    </row>
    <row r="924" spans="1:20" ht="17" hidden="1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>
        <f t="shared" si="42"/>
        <v>176</v>
      </c>
      <c r="G924" t="s">
        <v>20</v>
      </c>
      <c r="H924">
        <v>2261</v>
      </c>
      <c r="I924" s="4">
        <f t="shared" si="43"/>
        <v>40</v>
      </c>
      <c r="J924" t="s">
        <v>21</v>
      </c>
      <c r="K924" t="s">
        <v>22</v>
      </c>
      <c r="L924">
        <v>1544335200</v>
      </c>
      <c r="M924">
        <v>1545112800</v>
      </c>
      <c r="N924" s="9">
        <f>(((L924/60)/60)/24)+DATE(1970,1,1)</f>
        <v>43443.25</v>
      </c>
      <c r="O924" s="9">
        <f t="shared" si="44"/>
        <v>43452.25</v>
      </c>
      <c r="P924" t="b">
        <v>0</v>
      </c>
      <c r="Q924" t="b">
        <v>1</v>
      </c>
      <c r="R924" t="s">
        <v>319</v>
      </c>
      <c r="S924" t="s">
        <v>2035</v>
      </c>
      <c r="T924" t="s">
        <v>2062</v>
      </c>
    </row>
    <row r="925" spans="1:20" ht="17" hidden="1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>
        <f t="shared" si="42"/>
        <v>238</v>
      </c>
      <c r="G925" t="s">
        <v>20</v>
      </c>
      <c r="H925">
        <v>40</v>
      </c>
      <c r="I925" s="4">
        <f t="shared" si="43"/>
        <v>101.1</v>
      </c>
      <c r="J925" t="s">
        <v>21</v>
      </c>
      <c r="K925" t="s">
        <v>22</v>
      </c>
      <c r="L925">
        <v>1279083600</v>
      </c>
      <c r="M925">
        <v>1279170000</v>
      </c>
      <c r="N925" s="9">
        <f>(((L925/60)/60)/24)+DATE(1970,1,1)</f>
        <v>40373.208333333336</v>
      </c>
      <c r="O925" s="9">
        <f t="shared" si="44"/>
        <v>40374.208333333336</v>
      </c>
      <c r="P925" t="b">
        <v>0</v>
      </c>
      <c r="Q925" t="b">
        <v>0</v>
      </c>
      <c r="R925" t="s">
        <v>33</v>
      </c>
      <c r="S925" t="s">
        <v>2039</v>
      </c>
      <c r="T925" t="s">
        <v>2040</v>
      </c>
    </row>
    <row r="926" spans="1:20" ht="17" hidden="1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>
        <f t="shared" si="42"/>
        <v>488</v>
      </c>
      <c r="G926" t="s">
        <v>20</v>
      </c>
      <c r="H926">
        <v>2289</v>
      </c>
      <c r="I926" s="4">
        <f t="shared" si="43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9">
        <f>(((L926/60)/60)/24)+DATE(1970,1,1)</f>
        <v>43769.208333333328</v>
      </c>
      <c r="O926" s="9">
        <f t="shared" si="44"/>
        <v>43780.25</v>
      </c>
      <c r="P926" t="b">
        <v>0</v>
      </c>
      <c r="Q926" t="b">
        <v>0</v>
      </c>
      <c r="R926" t="s">
        <v>33</v>
      </c>
      <c r="S926" t="s">
        <v>2039</v>
      </c>
      <c r="T926" t="s">
        <v>2040</v>
      </c>
    </row>
    <row r="927" spans="1:20" ht="34" hidden="1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>
        <f t="shared" si="42"/>
        <v>224</v>
      </c>
      <c r="G927" t="s">
        <v>20</v>
      </c>
      <c r="H927">
        <v>65</v>
      </c>
      <c r="I927" s="4">
        <f t="shared" si="43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9">
        <f>(((L927/60)/60)/24)+DATE(1970,1,1)</f>
        <v>43000.208333333328</v>
      </c>
      <c r="O927" s="9">
        <f t="shared" si="44"/>
        <v>43012.208333333328</v>
      </c>
      <c r="P927" t="b">
        <v>0</v>
      </c>
      <c r="Q927" t="b">
        <v>0</v>
      </c>
      <c r="R927" t="s">
        <v>33</v>
      </c>
      <c r="S927" t="s">
        <v>2039</v>
      </c>
      <c r="T927" t="s">
        <v>2040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>
        <f t="shared" si="42"/>
        <v>18</v>
      </c>
      <c r="G928" t="s">
        <v>14</v>
      </c>
      <c r="H928">
        <v>15</v>
      </c>
      <c r="I928" s="4">
        <f t="shared" si="43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9">
        <f>(((L928/60)/60)/24)+DATE(1970,1,1)</f>
        <v>42502.208333333328</v>
      </c>
      <c r="O928" s="9">
        <f t="shared" si="44"/>
        <v>42506.208333333328</v>
      </c>
      <c r="P928" t="b">
        <v>0</v>
      </c>
      <c r="Q928" t="b">
        <v>0</v>
      </c>
      <c r="R928" t="s">
        <v>17</v>
      </c>
      <c r="S928" t="s">
        <v>2033</v>
      </c>
      <c r="T928" t="s">
        <v>2034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>
        <f t="shared" si="42"/>
        <v>46</v>
      </c>
      <c r="G929" t="s">
        <v>14</v>
      </c>
      <c r="H929">
        <v>37</v>
      </c>
      <c r="I929" s="4">
        <f t="shared" si="43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9">
        <f>(((L929/60)/60)/24)+DATE(1970,1,1)</f>
        <v>41102.208333333336</v>
      </c>
      <c r="O929" s="9">
        <f t="shared" si="44"/>
        <v>41131.208333333336</v>
      </c>
      <c r="P929" t="b">
        <v>0</v>
      </c>
      <c r="Q929" t="b">
        <v>0</v>
      </c>
      <c r="R929" t="s">
        <v>33</v>
      </c>
      <c r="S929" t="s">
        <v>2039</v>
      </c>
      <c r="T929" t="s">
        <v>2040</v>
      </c>
    </row>
    <row r="930" spans="1:20" ht="17" hidden="1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>
        <f t="shared" si="42"/>
        <v>117</v>
      </c>
      <c r="G930" t="s">
        <v>20</v>
      </c>
      <c r="H930">
        <v>3777</v>
      </c>
      <c r="I930" s="4">
        <f t="shared" si="43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9">
        <f>(((L930/60)/60)/24)+DATE(1970,1,1)</f>
        <v>41637.25</v>
      </c>
      <c r="O930" s="9">
        <f t="shared" si="44"/>
        <v>41646.25</v>
      </c>
      <c r="P930" t="b">
        <v>0</v>
      </c>
      <c r="Q930" t="b">
        <v>0</v>
      </c>
      <c r="R930" t="s">
        <v>28</v>
      </c>
      <c r="S930" t="s">
        <v>2037</v>
      </c>
      <c r="T930" t="s">
        <v>2038</v>
      </c>
    </row>
    <row r="931" spans="1:20" ht="17" hidden="1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>
        <f t="shared" si="42"/>
        <v>217</v>
      </c>
      <c r="G931" t="s">
        <v>20</v>
      </c>
      <c r="H931">
        <v>184</v>
      </c>
      <c r="I931" s="4">
        <f t="shared" si="43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9">
        <f>(((L931/60)/60)/24)+DATE(1970,1,1)</f>
        <v>42858.208333333328</v>
      </c>
      <c r="O931" s="9">
        <f t="shared" si="44"/>
        <v>42872.208333333328</v>
      </c>
      <c r="P931" t="b">
        <v>0</v>
      </c>
      <c r="Q931" t="b">
        <v>0</v>
      </c>
      <c r="R931" t="s">
        <v>33</v>
      </c>
      <c r="S931" t="s">
        <v>2039</v>
      </c>
      <c r="T931" t="s">
        <v>2040</v>
      </c>
    </row>
    <row r="932" spans="1:20" ht="17" hidden="1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>
        <f t="shared" si="42"/>
        <v>112</v>
      </c>
      <c r="G932" t="s">
        <v>20</v>
      </c>
      <c r="H932">
        <v>85</v>
      </c>
      <c r="I932" s="4">
        <f t="shared" si="43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9">
        <f>(((L932/60)/60)/24)+DATE(1970,1,1)</f>
        <v>42060.25</v>
      </c>
      <c r="O932" s="9">
        <f t="shared" si="44"/>
        <v>42067.25</v>
      </c>
      <c r="P932" t="b">
        <v>0</v>
      </c>
      <c r="Q932" t="b">
        <v>1</v>
      </c>
      <c r="R932" t="s">
        <v>33</v>
      </c>
      <c r="S932" t="s">
        <v>2039</v>
      </c>
      <c r="T932" t="s">
        <v>2040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>
        <f t="shared" si="42"/>
        <v>73</v>
      </c>
      <c r="G933" t="s">
        <v>14</v>
      </c>
      <c r="H933">
        <v>112</v>
      </c>
      <c r="I933" s="4">
        <f t="shared" si="43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9">
        <f>(((L933/60)/60)/24)+DATE(1970,1,1)</f>
        <v>41818.208333333336</v>
      </c>
      <c r="O933" s="9">
        <f t="shared" si="44"/>
        <v>41820.208333333336</v>
      </c>
      <c r="P933" t="b">
        <v>0</v>
      </c>
      <c r="Q933" t="b">
        <v>1</v>
      </c>
      <c r="R933" t="s">
        <v>33</v>
      </c>
      <c r="S933" t="s">
        <v>2039</v>
      </c>
      <c r="T933" t="s">
        <v>2040</v>
      </c>
    </row>
    <row r="934" spans="1:20" ht="17" hidden="1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>
        <f t="shared" si="42"/>
        <v>212</v>
      </c>
      <c r="G934" t="s">
        <v>20</v>
      </c>
      <c r="H934">
        <v>144</v>
      </c>
      <c r="I934" s="4">
        <f t="shared" si="43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9">
        <f>(((L934/60)/60)/24)+DATE(1970,1,1)</f>
        <v>41709.208333333336</v>
      </c>
      <c r="O934" s="9">
        <f t="shared" si="44"/>
        <v>41712.208333333336</v>
      </c>
      <c r="P934" t="b">
        <v>0</v>
      </c>
      <c r="Q934" t="b">
        <v>0</v>
      </c>
      <c r="R934" t="s">
        <v>23</v>
      </c>
      <c r="S934" t="s">
        <v>2035</v>
      </c>
      <c r="T934" t="s">
        <v>2036</v>
      </c>
    </row>
    <row r="935" spans="1:20" ht="17" hidden="1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>
        <f t="shared" si="42"/>
        <v>240</v>
      </c>
      <c r="G935" t="s">
        <v>20</v>
      </c>
      <c r="H935">
        <v>1902</v>
      </c>
      <c r="I935" s="4">
        <f t="shared" si="43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9">
        <f>(((L935/60)/60)/24)+DATE(1970,1,1)</f>
        <v>41372.208333333336</v>
      </c>
      <c r="O935" s="9">
        <f t="shared" si="44"/>
        <v>41385.208333333336</v>
      </c>
      <c r="P935" t="b">
        <v>0</v>
      </c>
      <c r="Q935" t="b">
        <v>0</v>
      </c>
      <c r="R935" t="s">
        <v>33</v>
      </c>
      <c r="S935" t="s">
        <v>2039</v>
      </c>
      <c r="T935" t="s">
        <v>2040</v>
      </c>
    </row>
    <row r="936" spans="1:20" ht="17" hidden="1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>
        <f t="shared" si="42"/>
        <v>182</v>
      </c>
      <c r="G936" t="s">
        <v>20</v>
      </c>
      <c r="H936">
        <v>105</v>
      </c>
      <c r="I936" s="4">
        <f t="shared" si="43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9">
        <f>(((L936/60)/60)/24)+DATE(1970,1,1)</f>
        <v>42422.25</v>
      </c>
      <c r="O936" s="9">
        <f t="shared" si="44"/>
        <v>42428.25</v>
      </c>
      <c r="P936" t="b">
        <v>0</v>
      </c>
      <c r="Q936" t="b">
        <v>0</v>
      </c>
      <c r="R936" t="s">
        <v>33</v>
      </c>
      <c r="S936" t="s">
        <v>2039</v>
      </c>
      <c r="T936" t="s">
        <v>2040</v>
      </c>
    </row>
    <row r="937" spans="1:20" ht="34" hidden="1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>
        <f t="shared" si="42"/>
        <v>164</v>
      </c>
      <c r="G937" t="s">
        <v>20</v>
      </c>
      <c r="H937">
        <v>132</v>
      </c>
      <c r="I937" s="4">
        <f t="shared" si="43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9">
        <f>(((L937/60)/60)/24)+DATE(1970,1,1)</f>
        <v>42209.208333333328</v>
      </c>
      <c r="O937" s="9">
        <f t="shared" si="44"/>
        <v>42216.208333333328</v>
      </c>
      <c r="P937" t="b">
        <v>0</v>
      </c>
      <c r="Q937" t="b">
        <v>0</v>
      </c>
      <c r="R937" t="s">
        <v>33</v>
      </c>
      <c r="S937" t="s">
        <v>2039</v>
      </c>
      <c r="T937" t="s">
        <v>2040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>
        <f t="shared" si="42"/>
        <v>2</v>
      </c>
      <c r="G938" t="s">
        <v>14</v>
      </c>
      <c r="H938">
        <v>21</v>
      </c>
      <c r="I938" s="4">
        <f t="shared" si="43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9">
        <f>(((L938/60)/60)/24)+DATE(1970,1,1)</f>
        <v>43668.208333333328</v>
      </c>
      <c r="O938" s="9">
        <f t="shared" si="44"/>
        <v>43671.208333333328</v>
      </c>
      <c r="P938" t="b">
        <v>1</v>
      </c>
      <c r="Q938" t="b">
        <v>0</v>
      </c>
      <c r="R938" t="s">
        <v>33</v>
      </c>
      <c r="S938" t="s">
        <v>2039</v>
      </c>
      <c r="T938" t="s">
        <v>2040</v>
      </c>
    </row>
    <row r="939" spans="1:20" ht="17" hidden="1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>
        <f t="shared" si="42"/>
        <v>50</v>
      </c>
      <c r="G939" t="s">
        <v>74</v>
      </c>
      <c r="H939">
        <v>976</v>
      </c>
      <c r="I939" s="4">
        <f t="shared" si="43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9">
        <f>(((L939/60)/60)/24)+DATE(1970,1,1)</f>
        <v>42334.25</v>
      </c>
      <c r="O939" s="9">
        <f t="shared" si="44"/>
        <v>42343.25</v>
      </c>
      <c r="P939" t="b">
        <v>0</v>
      </c>
      <c r="Q939" t="b">
        <v>0</v>
      </c>
      <c r="R939" t="s">
        <v>42</v>
      </c>
      <c r="S939" t="s">
        <v>2041</v>
      </c>
      <c r="T939" t="s">
        <v>2042</v>
      </c>
    </row>
    <row r="940" spans="1:20" ht="17" hidden="1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>
        <f t="shared" si="42"/>
        <v>110</v>
      </c>
      <c r="G940" t="s">
        <v>20</v>
      </c>
      <c r="H940">
        <v>96</v>
      </c>
      <c r="I940" s="4">
        <f t="shared" si="43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9">
        <f>(((L940/60)/60)/24)+DATE(1970,1,1)</f>
        <v>43263.208333333328</v>
      </c>
      <c r="O940" s="9">
        <f t="shared" si="44"/>
        <v>43299.208333333328</v>
      </c>
      <c r="P940" t="b">
        <v>0</v>
      </c>
      <c r="Q940" t="b">
        <v>1</v>
      </c>
      <c r="R940" t="s">
        <v>119</v>
      </c>
      <c r="S940" t="s">
        <v>2047</v>
      </c>
      <c r="T940" t="s">
        <v>2053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>
        <f t="shared" si="42"/>
        <v>49</v>
      </c>
      <c r="G941" t="s">
        <v>14</v>
      </c>
      <c r="H941">
        <v>67</v>
      </c>
      <c r="I941" s="4">
        <f t="shared" si="43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9">
        <f>(((L941/60)/60)/24)+DATE(1970,1,1)</f>
        <v>40670.208333333336</v>
      </c>
      <c r="O941" s="9">
        <f t="shared" si="44"/>
        <v>40687.208333333336</v>
      </c>
      <c r="P941" t="b">
        <v>0</v>
      </c>
      <c r="Q941" t="b">
        <v>1</v>
      </c>
      <c r="R941" t="s">
        <v>89</v>
      </c>
      <c r="S941" t="s">
        <v>2050</v>
      </c>
      <c r="T941" t="s">
        <v>2051</v>
      </c>
    </row>
    <row r="942" spans="1:20" ht="17" hidden="1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>
        <f t="shared" si="42"/>
        <v>62</v>
      </c>
      <c r="G942" t="s">
        <v>47</v>
      </c>
      <c r="H942">
        <v>66</v>
      </c>
      <c r="I942" s="4">
        <f t="shared" si="43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9">
        <f>(((L942/60)/60)/24)+DATE(1970,1,1)</f>
        <v>41244.25</v>
      </c>
      <c r="O942" s="9">
        <f t="shared" si="44"/>
        <v>41266.25</v>
      </c>
      <c r="P942" t="b">
        <v>0</v>
      </c>
      <c r="Q942" t="b">
        <v>0</v>
      </c>
      <c r="R942" t="s">
        <v>28</v>
      </c>
      <c r="S942" t="s">
        <v>2037</v>
      </c>
      <c r="T942" t="s">
        <v>2038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>
        <f t="shared" si="42"/>
        <v>13</v>
      </c>
      <c r="G943" t="s">
        <v>14</v>
      </c>
      <c r="H943">
        <v>78</v>
      </c>
      <c r="I943" s="4">
        <f t="shared" si="43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9">
        <f>(((L943/60)/60)/24)+DATE(1970,1,1)</f>
        <v>40552.25</v>
      </c>
      <c r="O943" s="9">
        <f t="shared" si="44"/>
        <v>40587.25</v>
      </c>
      <c r="P943" t="b">
        <v>1</v>
      </c>
      <c r="Q943" t="b">
        <v>0</v>
      </c>
      <c r="R943" t="s">
        <v>33</v>
      </c>
      <c r="S943" t="s">
        <v>2039</v>
      </c>
      <c r="T943" t="s">
        <v>2040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>
        <f t="shared" si="42"/>
        <v>65</v>
      </c>
      <c r="G944" t="s">
        <v>14</v>
      </c>
      <c r="H944">
        <v>67</v>
      </c>
      <c r="I944" s="4">
        <f t="shared" si="43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9">
        <f>(((L944/60)/60)/24)+DATE(1970,1,1)</f>
        <v>40568.25</v>
      </c>
      <c r="O944" s="9">
        <f t="shared" si="44"/>
        <v>40571.25</v>
      </c>
      <c r="P944" t="b">
        <v>0</v>
      </c>
      <c r="Q944" t="b">
        <v>0</v>
      </c>
      <c r="R944" t="s">
        <v>33</v>
      </c>
      <c r="S944" t="s">
        <v>2039</v>
      </c>
      <c r="T944" t="s">
        <v>2040</v>
      </c>
    </row>
    <row r="945" spans="1:20" ht="17" hidden="1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>
        <f t="shared" si="42"/>
        <v>160</v>
      </c>
      <c r="G945" t="s">
        <v>20</v>
      </c>
      <c r="H945">
        <v>114</v>
      </c>
      <c r="I945" s="4">
        <f t="shared" si="43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9">
        <f>(((L945/60)/60)/24)+DATE(1970,1,1)</f>
        <v>41906.208333333336</v>
      </c>
      <c r="O945" s="9">
        <f t="shared" si="44"/>
        <v>41941.208333333336</v>
      </c>
      <c r="P945" t="b">
        <v>0</v>
      </c>
      <c r="Q945" t="b">
        <v>0</v>
      </c>
      <c r="R945" t="s">
        <v>17</v>
      </c>
      <c r="S945" t="s">
        <v>2033</v>
      </c>
      <c r="T945" t="s">
        <v>2034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>
        <f t="shared" si="42"/>
        <v>81</v>
      </c>
      <c r="G946" t="s">
        <v>14</v>
      </c>
      <c r="H946">
        <v>263</v>
      </c>
      <c r="I946" s="4">
        <f t="shared" si="43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9">
        <f>(((L946/60)/60)/24)+DATE(1970,1,1)</f>
        <v>42776.25</v>
      </c>
      <c r="O946" s="9">
        <f t="shared" si="44"/>
        <v>42795.25</v>
      </c>
      <c r="P946" t="b">
        <v>0</v>
      </c>
      <c r="Q946" t="b">
        <v>0</v>
      </c>
      <c r="R946" t="s">
        <v>122</v>
      </c>
      <c r="S946" t="s">
        <v>2054</v>
      </c>
      <c r="T946" t="s">
        <v>2055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>
        <f t="shared" si="42"/>
        <v>32</v>
      </c>
      <c r="G947" t="s">
        <v>14</v>
      </c>
      <c r="H947">
        <v>1691</v>
      </c>
      <c r="I947" s="4">
        <f t="shared" si="43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9">
        <f>(((L947/60)/60)/24)+DATE(1970,1,1)</f>
        <v>41004.208333333336</v>
      </c>
      <c r="O947" s="9">
        <f t="shared" si="44"/>
        <v>41019.208333333336</v>
      </c>
      <c r="P947" t="b">
        <v>1</v>
      </c>
      <c r="Q947" t="b">
        <v>0</v>
      </c>
      <c r="R947" t="s">
        <v>122</v>
      </c>
      <c r="S947" t="s">
        <v>2054</v>
      </c>
      <c r="T947" t="s">
        <v>2055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>
        <f t="shared" si="42"/>
        <v>10</v>
      </c>
      <c r="G948" t="s">
        <v>14</v>
      </c>
      <c r="H948">
        <v>181</v>
      </c>
      <c r="I948" s="4">
        <f t="shared" si="43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9">
        <f>(((L948/60)/60)/24)+DATE(1970,1,1)</f>
        <v>40710.208333333336</v>
      </c>
      <c r="O948" s="9">
        <f t="shared" si="44"/>
        <v>40712.208333333336</v>
      </c>
      <c r="P948" t="b">
        <v>0</v>
      </c>
      <c r="Q948" t="b">
        <v>0</v>
      </c>
      <c r="R948" t="s">
        <v>33</v>
      </c>
      <c r="S948" t="s">
        <v>2039</v>
      </c>
      <c r="T948" t="s">
        <v>2040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>
        <f t="shared" si="42"/>
        <v>27</v>
      </c>
      <c r="G949" t="s">
        <v>14</v>
      </c>
      <c r="H949">
        <v>13</v>
      </c>
      <c r="I949" s="4">
        <f t="shared" si="43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9">
        <f>(((L949/60)/60)/24)+DATE(1970,1,1)</f>
        <v>41908.208333333336</v>
      </c>
      <c r="O949" s="9">
        <f t="shared" si="44"/>
        <v>41915.208333333336</v>
      </c>
      <c r="P949" t="b">
        <v>0</v>
      </c>
      <c r="Q949" t="b">
        <v>0</v>
      </c>
      <c r="R949" t="s">
        <v>33</v>
      </c>
      <c r="S949" t="s">
        <v>2039</v>
      </c>
      <c r="T949" t="s">
        <v>2040</v>
      </c>
    </row>
    <row r="950" spans="1:20" ht="17" hidden="1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>
        <f t="shared" si="42"/>
        <v>63</v>
      </c>
      <c r="G950" t="s">
        <v>74</v>
      </c>
      <c r="H950">
        <v>160</v>
      </c>
      <c r="I950" s="4">
        <f t="shared" si="43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9">
        <f>(((L950/60)/60)/24)+DATE(1970,1,1)</f>
        <v>41985.25</v>
      </c>
      <c r="O950" s="9">
        <f t="shared" si="44"/>
        <v>41995.25</v>
      </c>
      <c r="P950" t="b">
        <v>1</v>
      </c>
      <c r="Q950" t="b">
        <v>1</v>
      </c>
      <c r="R950" t="s">
        <v>42</v>
      </c>
      <c r="S950" t="s">
        <v>2041</v>
      </c>
      <c r="T950" t="s">
        <v>2042</v>
      </c>
    </row>
    <row r="951" spans="1:20" ht="34" hidden="1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>
        <f t="shared" si="42"/>
        <v>161</v>
      </c>
      <c r="G951" t="s">
        <v>20</v>
      </c>
      <c r="H951">
        <v>203</v>
      </c>
      <c r="I951" s="4">
        <f t="shared" si="43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9">
        <f>(((L951/60)/60)/24)+DATE(1970,1,1)</f>
        <v>42112.208333333328</v>
      </c>
      <c r="O951" s="9">
        <f t="shared" si="44"/>
        <v>42131.208333333328</v>
      </c>
      <c r="P951" t="b">
        <v>0</v>
      </c>
      <c r="Q951" t="b">
        <v>0</v>
      </c>
      <c r="R951" t="s">
        <v>28</v>
      </c>
      <c r="S951" t="s">
        <v>2037</v>
      </c>
      <c r="T951" t="s">
        <v>2038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>
        <f t="shared" si="42"/>
        <v>5</v>
      </c>
      <c r="G952" t="s">
        <v>14</v>
      </c>
      <c r="H952">
        <v>1</v>
      </c>
      <c r="I952" s="4">
        <f t="shared" si="43"/>
        <v>5</v>
      </c>
      <c r="J952" t="s">
        <v>21</v>
      </c>
      <c r="K952" t="s">
        <v>22</v>
      </c>
      <c r="L952">
        <v>1555390800</v>
      </c>
      <c r="M952">
        <v>1555822800</v>
      </c>
      <c r="N952" s="9">
        <f>(((L952/60)/60)/24)+DATE(1970,1,1)</f>
        <v>43571.208333333328</v>
      </c>
      <c r="O952" s="9">
        <f t="shared" si="44"/>
        <v>43576.208333333328</v>
      </c>
      <c r="P952" t="b">
        <v>0</v>
      </c>
      <c r="Q952" t="b">
        <v>1</v>
      </c>
      <c r="R952" t="s">
        <v>33</v>
      </c>
      <c r="S952" t="s">
        <v>2039</v>
      </c>
      <c r="T952" t="s">
        <v>2040</v>
      </c>
    </row>
    <row r="953" spans="1:20" ht="17" hidden="1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>
        <f t="shared" si="42"/>
        <v>1097</v>
      </c>
      <c r="G953" t="s">
        <v>20</v>
      </c>
      <c r="H953">
        <v>1559</v>
      </c>
      <c r="I953" s="4">
        <f t="shared" si="43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9">
        <f>(((L953/60)/60)/24)+DATE(1970,1,1)</f>
        <v>42730.25</v>
      </c>
      <c r="O953" s="9">
        <f t="shared" si="44"/>
        <v>42731.25</v>
      </c>
      <c r="P953" t="b">
        <v>0</v>
      </c>
      <c r="Q953" t="b">
        <v>1</v>
      </c>
      <c r="R953" t="s">
        <v>23</v>
      </c>
      <c r="S953" t="s">
        <v>2035</v>
      </c>
      <c r="T953" t="s">
        <v>2036</v>
      </c>
    </row>
    <row r="954" spans="1:20" ht="17" hidden="1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>
        <f t="shared" si="42"/>
        <v>70</v>
      </c>
      <c r="G954" t="s">
        <v>74</v>
      </c>
      <c r="H954">
        <v>2266</v>
      </c>
      <c r="I954" s="4">
        <f t="shared" si="43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9">
        <f>(((L954/60)/60)/24)+DATE(1970,1,1)</f>
        <v>42591.208333333328</v>
      </c>
      <c r="O954" s="9">
        <f t="shared" si="44"/>
        <v>42605.208333333328</v>
      </c>
      <c r="P954" t="b">
        <v>0</v>
      </c>
      <c r="Q954" t="b">
        <v>0</v>
      </c>
      <c r="R954" t="s">
        <v>42</v>
      </c>
      <c r="S954" t="s">
        <v>2041</v>
      </c>
      <c r="T954" t="s">
        <v>2042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>
        <f t="shared" si="42"/>
        <v>60</v>
      </c>
      <c r="G955" t="s">
        <v>14</v>
      </c>
      <c r="H955">
        <v>21</v>
      </c>
      <c r="I955" s="4">
        <f t="shared" si="43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9">
        <f>(((L955/60)/60)/24)+DATE(1970,1,1)</f>
        <v>42358.25</v>
      </c>
      <c r="O955" s="9">
        <f t="shared" si="44"/>
        <v>42394.25</v>
      </c>
      <c r="P955" t="b">
        <v>0</v>
      </c>
      <c r="Q955" t="b">
        <v>1</v>
      </c>
      <c r="R955" t="s">
        <v>474</v>
      </c>
      <c r="S955" t="s">
        <v>2041</v>
      </c>
      <c r="T955" t="s">
        <v>2063</v>
      </c>
    </row>
    <row r="956" spans="1:20" ht="17" hidden="1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>
        <f t="shared" si="42"/>
        <v>367</v>
      </c>
      <c r="G956" t="s">
        <v>20</v>
      </c>
      <c r="H956">
        <v>1548</v>
      </c>
      <c r="I956" s="4">
        <f t="shared" si="43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9">
        <f>(((L956/60)/60)/24)+DATE(1970,1,1)</f>
        <v>41174.208333333336</v>
      </c>
      <c r="O956" s="9">
        <f t="shared" si="44"/>
        <v>41198.208333333336</v>
      </c>
      <c r="P956" t="b">
        <v>0</v>
      </c>
      <c r="Q956" t="b">
        <v>0</v>
      </c>
      <c r="R956" t="s">
        <v>28</v>
      </c>
      <c r="S956" t="s">
        <v>2037</v>
      </c>
      <c r="T956" t="s">
        <v>2038</v>
      </c>
    </row>
    <row r="957" spans="1:20" ht="34" hidden="1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>
        <f t="shared" si="42"/>
        <v>1109</v>
      </c>
      <c r="G957" t="s">
        <v>20</v>
      </c>
      <c r="H957">
        <v>80</v>
      </c>
      <c r="I957" s="4">
        <f t="shared" si="43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9">
        <f>(((L957/60)/60)/24)+DATE(1970,1,1)</f>
        <v>41238.25</v>
      </c>
      <c r="O957" s="9">
        <f t="shared" si="44"/>
        <v>41240.25</v>
      </c>
      <c r="P957" t="b">
        <v>0</v>
      </c>
      <c r="Q957" t="b">
        <v>0</v>
      </c>
      <c r="R957" t="s">
        <v>33</v>
      </c>
      <c r="S957" t="s">
        <v>2039</v>
      </c>
      <c r="T957" t="s">
        <v>2040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>
        <f t="shared" si="42"/>
        <v>19</v>
      </c>
      <c r="G958" t="s">
        <v>14</v>
      </c>
      <c r="H958">
        <v>830</v>
      </c>
      <c r="I958" s="4">
        <f t="shared" si="43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9">
        <f>(((L958/60)/60)/24)+DATE(1970,1,1)</f>
        <v>42360.25</v>
      </c>
      <c r="O958" s="9">
        <f t="shared" si="44"/>
        <v>42364.25</v>
      </c>
      <c r="P958" t="b">
        <v>0</v>
      </c>
      <c r="Q958" t="b">
        <v>0</v>
      </c>
      <c r="R958" t="s">
        <v>474</v>
      </c>
      <c r="S958" t="s">
        <v>2041</v>
      </c>
      <c r="T958" t="s">
        <v>2063</v>
      </c>
    </row>
    <row r="959" spans="1:20" ht="17" hidden="1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>
        <f t="shared" si="42"/>
        <v>127</v>
      </c>
      <c r="G959" t="s">
        <v>20</v>
      </c>
      <c r="H959">
        <v>131</v>
      </c>
      <c r="I959" s="4">
        <f t="shared" si="43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9">
        <f>(((L959/60)/60)/24)+DATE(1970,1,1)</f>
        <v>40955.25</v>
      </c>
      <c r="O959" s="9">
        <f t="shared" si="44"/>
        <v>40958.25</v>
      </c>
      <c r="P959" t="b">
        <v>0</v>
      </c>
      <c r="Q959" t="b">
        <v>0</v>
      </c>
      <c r="R959" t="s">
        <v>33</v>
      </c>
      <c r="S959" t="s">
        <v>2039</v>
      </c>
      <c r="T959" t="s">
        <v>2040</v>
      </c>
    </row>
    <row r="960" spans="1:20" ht="34" hidden="1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>
        <f t="shared" si="42"/>
        <v>735</v>
      </c>
      <c r="G960" t="s">
        <v>20</v>
      </c>
      <c r="H960">
        <v>112</v>
      </c>
      <c r="I960" s="4">
        <f t="shared" si="43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9">
        <f>(((L960/60)/60)/24)+DATE(1970,1,1)</f>
        <v>40350.208333333336</v>
      </c>
      <c r="O960" s="9">
        <f t="shared" si="44"/>
        <v>40372.208333333336</v>
      </c>
      <c r="P960" t="b">
        <v>0</v>
      </c>
      <c r="Q960" t="b">
        <v>0</v>
      </c>
      <c r="R960" t="s">
        <v>71</v>
      </c>
      <c r="S960" t="s">
        <v>2041</v>
      </c>
      <c r="T960" t="s">
        <v>2049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>
        <f t="shared" si="42"/>
        <v>5</v>
      </c>
      <c r="G961" t="s">
        <v>14</v>
      </c>
      <c r="H961">
        <v>130</v>
      </c>
      <c r="I961" s="4">
        <f t="shared" si="43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9">
        <f>(((L961/60)/60)/24)+DATE(1970,1,1)</f>
        <v>40357.208333333336</v>
      </c>
      <c r="O961" s="9">
        <f t="shared" si="44"/>
        <v>40385.208333333336</v>
      </c>
      <c r="P961" t="b">
        <v>0</v>
      </c>
      <c r="Q961" t="b">
        <v>0</v>
      </c>
      <c r="R961" t="s">
        <v>206</v>
      </c>
      <c r="S961" t="s">
        <v>2047</v>
      </c>
      <c r="T961" t="s">
        <v>2059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>
        <f t="shared" si="42"/>
        <v>85</v>
      </c>
      <c r="G962" t="s">
        <v>14</v>
      </c>
      <c r="H962">
        <v>55</v>
      </c>
      <c r="I962" s="4">
        <f t="shared" si="43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9">
        <f>(((L962/60)/60)/24)+DATE(1970,1,1)</f>
        <v>42408.25</v>
      </c>
      <c r="O962" s="9">
        <f t="shared" si="44"/>
        <v>42445.208333333328</v>
      </c>
      <c r="P962" t="b">
        <v>0</v>
      </c>
      <c r="Q962" t="b">
        <v>0</v>
      </c>
      <c r="R962" t="s">
        <v>28</v>
      </c>
      <c r="S962" t="s">
        <v>2037</v>
      </c>
      <c r="T962" t="s">
        <v>2038</v>
      </c>
    </row>
    <row r="963" spans="1:20" ht="34" hidden="1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>
        <f t="shared" ref="F963:F1001" si="45">ROUND(E963/D963*100,0)</f>
        <v>119</v>
      </c>
      <c r="G963" t="s">
        <v>20</v>
      </c>
      <c r="H963">
        <v>155</v>
      </c>
      <c r="I963" s="4">
        <f t="shared" ref="I963:I1001" si="46">AVERAGE(E963/H963)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9">
        <f>(((L963/60)/60)/24)+DATE(1970,1,1)</f>
        <v>40591.25</v>
      </c>
      <c r="O963" s="9">
        <f t="shared" ref="O963:O1001" si="47">(((M963/60)/60)/24)+DATE(1970,1,1)</f>
        <v>40595.25</v>
      </c>
      <c r="P963" t="b">
        <v>0</v>
      </c>
      <c r="Q963" t="b">
        <v>0</v>
      </c>
      <c r="R963" t="s">
        <v>206</v>
      </c>
      <c r="S963" t="s">
        <v>2047</v>
      </c>
      <c r="T963" t="s">
        <v>2059</v>
      </c>
    </row>
    <row r="964" spans="1:20" ht="17" hidden="1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>
        <f t="shared" si="45"/>
        <v>296</v>
      </c>
      <c r="G964" t="s">
        <v>20</v>
      </c>
      <c r="H964">
        <v>266</v>
      </c>
      <c r="I964" s="4">
        <f t="shared" si="46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9">
        <f>(((L964/60)/60)/24)+DATE(1970,1,1)</f>
        <v>41592.25</v>
      </c>
      <c r="O964" s="9">
        <f t="shared" si="47"/>
        <v>41613.25</v>
      </c>
      <c r="P964" t="b">
        <v>0</v>
      </c>
      <c r="Q964" t="b">
        <v>0</v>
      </c>
      <c r="R964" t="s">
        <v>17</v>
      </c>
      <c r="S964" t="s">
        <v>2033</v>
      </c>
      <c r="T964" t="s">
        <v>2034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>
        <f t="shared" si="45"/>
        <v>85</v>
      </c>
      <c r="G965" t="s">
        <v>14</v>
      </c>
      <c r="H965">
        <v>114</v>
      </c>
      <c r="I965" s="4">
        <f t="shared" si="46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9">
        <f>(((L965/60)/60)/24)+DATE(1970,1,1)</f>
        <v>40607.25</v>
      </c>
      <c r="O965" s="9">
        <f t="shared" si="47"/>
        <v>40613.25</v>
      </c>
      <c r="P965" t="b">
        <v>0</v>
      </c>
      <c r="Q965" t="b">
        <v>1</v>
      </c>
      <c r="R965" t="s">
        <v>122</v>
      </c>
      <c r="S965" t="s">
        <v>2054</v>
      </c>
      <c r="T965" t="s">
        <v>2055</v>
      </c>
    </row>
    <row r="966" spans="1:20" ht="17" hidden="1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>
        <f t="shared" si="45"/>
        <v>356</v>
      </c>
      <c r="G966" t="s">
        <v>20</v>
      </c>
      <c r="H966">
        <v>155</v>
      </c>
      <c r="I966" s="4">
        <f t="shared" si="46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9">
        <f>(((L966/60)/60)/24)+DATE(1970,1,1)</f>
        <v>42135.208333333328</v>
      </c>
      <c r="O966" s="9">
        <f t="shared" si="47"/>
        <v>42140.208333333328</v>
      </c>
      <c r="P966" t="b">
        <v>0</v>
      </c>
      <c r="Q966" t="b">
        <v>0</v>
      </c>
      <c r="R966" t="s">
        <v>33</v>
      </c>
      <c r="S966" t="s">
        <v>2039</v>
      </c>
      <c r="T966" t="s">
        <v>2040</v>
      </c>
    </row>
    <row r="967" spans="1:20" ht="17" hidden="1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>
        <f t="shared" si="45"/>
        <v>386</v>
      </c>
      <c r="G967" t="s">
        <v>20</v>
      </c>
      <c r="H967">
        <v>207</v>
      </c>
      <c r="I967" s="4">
        <f t="shared" si="46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9">
        <f>(((L967/60)/60)/24)+DATE(1970,1,1)</f>
        <v>40203.25</v>
      </c>
      <c r="O967" s="9">
        <f t="shared" si="47"/>
        <v>40243.25</v>
      </c>
      <c r="P967" t="b">
        <v>0</v>
      </c>
      <c r="Q967" t="b">
        <v>0</v>
      </c>
      <c r="R967" t="s">
        <v>23</v>
      </c>
      <c r="S967" t="s">
        <v>2035</v>
      </c>
      <c r="T967" t="s">
        <v>2036</v>
      </c>
    </row>
    <row r="968" spans="1:20" ht="17" hidden="1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>
        <f t="shared" si="45"/>
        <v>792</v>
      </c>
      <c r="G968" t="s">
        <v>20</v>
      </c>
      <c r="H968">
        <v>245</v>
      </c>
      <c r="I968" s="4">
        <f t="shared" si="46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9">
        <f>(((L968/60)/60)/24)+DATE(1970,1,1)</f>
        <v>42901.208333333328</v>
      </c>
      <c r="O968" s="9">
        <f t="shared" si="47"/>
        <v>42903.208333333328</v>
      </c>
      <c r="P968" t="b">
        <v>0</v>
      </c>
      <c r="Q968" t="b">
        <v>0</v>
      </c>
      <c r="R968" t="s">
        <v>33</v>
      </c>
      <c r="S968" t="s">
        <v>2039</v>
      </c>
      <c r="T968" t="s">
        <v>2040</v>
      </c>
    </row>
    <row r="969" spans="1:20" ht="17" hidden="1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>
        <f t="shared" si="45"/>
        <v>137</v>
      </c>
      <c r="G969" t="s">
        <v>20</v>
      </c>
      <c r="H969">
        <v>1573</v>
      </c>
      <c r="I969" s="4">
        <f t="shared" si="46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9">
        <f>(((L969/60)/60)/24)+DATE(1970,1,1)</f>
        <v>41005.208333333336</v>
      </c>
      <c r="O969" s="9">
        <f t="shared" si="47"/>
        <v>41042.208333333336</v>
      </c>
      <c r="P969" t="b">
        <v>0</v>
      </c>
      <c r="Q969" t="b">
        <v>0</v>
      </c>
      <c r="R969" t="s">
        <v>319</v>
      </c>
      <c r="S969" t="s">
        <v>2035</v>
      </c>
      <c r="T969" t="s">
        <v>2062</v>
      </c>
    </row>
    <row r="970" spans="1:20" ht="34" hidden="1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>
        <f t="shared" si="45"/>
        <v>338</v>
      </c>
      <c r="G970" t="s">
        <v>20</v>
      </c>
      <c r="H970">
        <v>114</v>
      </c>
      <c r="I970" s="4">
        <f t="shared" si="46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9">
        <f>(((L970/60)/60)/24)+DATE(1970,1,1)</f>
        <v>40544.25</v>
      </c>
      <c r="O970" s="9">
        <f t="shared" si="47"/>
        <v>40559.25</v>
      </c>
      <c r="P970" t="b">
        <v>0</v>
      </c>
      <c r="Q970" t="b">
        <v>0</v>
      </c>
      <c r="R970" t="s">
        <v>17</v>
      </c>
      <c r="S970" t="s">
        <v>2033</v>
      </c>
      <c r="T970" t="s">
        <v>2034</v>
      </c>
    </row>
    <row r="971" spans="1:20" ht="17" hidden="1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>
        <f t="shared" si="45"/>
        <v>108</v>
      </c>
      <c r="G971" t="s">
        <v>20</v>
      </c>
      <c r="H971">
        <v>93</v>
      </c>
      <c r="I971" s="4">
        <f t="shared" si="46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9">
        <f>(((L971/60)/60)/24)+DATE(1970,1,1)</f>
        <v>43821.25</v>
      </c>
      <c r="O971" s="9">
        <f t="shared" si="47"/>
        <v>43828.25</v>
      </c>
      <c r="P971" t="b">
        <v>0</v>
      </c>
      <c r="Q971" t="b">
        <v>0</v>
      </c>
      <c r="R971" t="s">
        <v>33</v>
      </c>
      <c r="S971" t="s">
        <v>2039</v>
      </c>
      <c r="T971" t="s">
        <v>2040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>
        <f t="shared" si="45"/>
        <v>61</v>
      </c>
      <c r="G972" t="s">
        <v>14</v>
      </c>
      <c r="H972">
        <v>594</v>
      </c>
      <c r="I972" s="4">
        <f t="shared" si="46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9">
        <f>(((L972/60)/60)/24)+DATE(1970,1,1)</f>
        <v>40672.208333333336</v>
      </c>
      <c r="O972" s="9">
        <f t="shared" si="47"/>
        <v>40673.208333333336</v>
      </c>
      <c r="P972" t="b">
        <v>0</v>
      </c>
      <c r="Q972" t="b">
        <v>0</v>
      </c>
      <c r="R972" t="s">
        <v>33</v>
      </c>
      <c r="S972" t="s">
        <v>2039</v>
      </c>
      <c r="T972" t="s">
        <v>2040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>
        <f t="shared" si="45"/>
        <v>28</v>
      </c>
      <c r="G973" t="s">
        <v>14</v>
      </c>
      <c r="H973">
        <v>24</v>
      </c>
      <c r="I973" s="4">
        <f t="shared" si="46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9">
        <f>(((L973/60)/60)/24)+DATE(1970,1,1)</f>
        <v>41555.208333333336</v>
      </c>
      <c r="O973" s="9">
        <f t="shared" si="47"/>
        <v>41561.208333333336</v>
      </c>
      <c r="P973" t="b">
        <v>0</v>
      </c>
      <c r="Q973" t="b">
        <v>0</v>
      </c>
      <c r="R973" t="s">
        <v>269</v>
      </c>
      <c r="S973" t="s">
        <v>2041</v>
      </c>
      <c r="T973" t="s">
        <v>2060</v>
      </c>
    </row>
    <row r="974" spans="1:20" ht="34" hidden="1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>
        <f t="shared" si="45"/>
        <v>228</v>
      </c>
      <c r="G974" t="s">
        <v>20</v>
      </c>
      <c r="H974">
        <v>1681</v>
      </c>
      <c r="I974" s="4">
        <f t="shared" si="46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9">
        <f>(((L974/60)/60)/24)+DATE(1970,1,1)</f>
        <v>41792.208333333336</v>
      </c>
      <c r="O974" s="9">
        <f t="shared" si="47"/>
        <v>41801.208333333336</v>
      </c>
      <c r="P974" t="b">
        <v>0</v>
      </c>
      <c r="Q974" t="b">
        <v>1</v>
      </c>
      <c r="R974" t="s">
        <v>28</v>
      </c>
      <c r="S974" t="s">
        <v>2037</v>
      </c>
      <c r="T974" t="s">
        <v>2038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>
        <f t="shared" si="45"/>
        <v>22</v>
      </c>
      <c r="G975" t="s">
        <v>14</v>
      </c>
      <c r="H975">
        <v>252</v>
      </c>
      <c r="I975" s="4">
        <f t="shared" si="46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9">
        <f>(((L975/60)/60)/24)+DATE(1970,1,1)</f>
        <v>40522.25</v>
      </c>
      <c r="O975" s="9">
        <f t="shared" si="47"/>
        <v>40524.25</v>
      </c>
      <c r="P975" t="b">
        <v>0</v>
      </c>
      <c r="Q975" t="b">
        <v>1</v>
      </c>
      <c r="R975" t="s">
        <v>33</v>
      </c>
      <c r="S975" t="s">
        <v>2039</v>
      </c>
      <c r="T975" t="s">
        <v>2040</v>
      </c>
    </row>
    <row r="976" spans="1:20" ht="17" hidden="1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>
        <f t="shared" si="45"/>
        <v>374</v>
      </c>
      <c r="G976" t="s">
        <v>20</v>
      </c>
      <c r="H976">
        <v>32</v>
      </c>
      <c r="I976" s="4">
        <f t="shared" si="46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9">
        <f>(((L976/60)/60)/24)+DATE(1970,1,1)</f>
        <v>41412.208333333336</v>
      </c>
      <c r="O976" s="9">
        <f t="shared" si="47"/>
        <v>41413.208333333336</v>
      </c>
      <c r="P976" t="b">
        <v>0</v>
      </c>
      <c r="Q976" t="b">
        <v>0</v>
      </c>
      <c r="R976" t="s">
        <v>60</v>
      </c>
      <c r="S976" t="s">
        <v>2035</v>
      </c>
      <c r="T976" t="s">
        <v>2045</v>
      </c>
    </row>
    <row r="977" spans="1:20" ht="17" hidden="1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>
        <f t="shared" si="45"/>
        <v>155</v>
      </c>
      <c r="G977" t="s">
        <v>20</v>
      </c>
      <c r="H977">
        <v>135</v>
      </c>
      <c r="I977" s="4">
        <f t="shared" si="46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9">
        <f>(((L977/60)/60)/24)+DATE(1970,1,1)</f>
        <v>42337.25</v>
      </c>
      <c r="O977" s="9">
        <f t="shared" si="47"/>
        <v>42376.25</v>
      </c>
      <c r="P977" t="b">
        <v>0</v>
      </c>
      <c r="Q977" t="b">
        <v>1</v>
      </c>
      <c r="R977" t="s">
        <v>33</v>
      </c>
      <c r="S977" t="s">
        <v>2039</v>
      </c>
      <c r="T977" t="s">
        <v>2040</v>
      </c>
    </row>
    <row r="978" spans="1:20" ht="34" hidden="1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>
        <f t="shared" si="45"/>
        <v>322</v>
      </c>
      <c r="G978" t="s">
        <v>20</v>
      </c>
      <c r="H978">
        <v>140</v>
      </c>
      <c r="I978" s="4">
        <f t="shared" si="46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9">
        <f>(((L978/60)/60)/24)+DATE(1970,1,1)</f>
        <v>40571.25</v>
      </c>
      <c r="O978" s="9">
        <f t="shared" si="47"/>
        <v>40577.25</v>
      </c>
      <c r="P978" t="b">
        <v>0</v>
      </c>
      <c r="Q978" t="b">
        <v>1</v>
      </c>
      <c r="R978" t="s">
        <v>33</v>
      </c>
      <c r="S978" t="s">
        <v>2039</v>
      </c>
      <c r="T978" t="s">
        <v>2040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>
        <f t="shared" si="45"/>
        <v>74</v>
      </c>
      <c r="G979" t="s">
        <v>14</v>
      </c>
      <c r="H979">
        <v>67</v>
      </c>
      <c r="I979" s="4">
        <f t="shared" si="46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9">
        <f>(((L979/60)/60)/24)+DATE(1970,1,1)</f>
        <v>43138.25</v>
      </c>
      <c r="O979" s="9">
        <f t="shared" si="47"/>
        <v>43170.25</v>
      </c>
      <c r="P979" t="b">
        <v>0</v>
      </c>
      <c r="Q979" t="b">
        <v>0</v>
      </c>
      <c r="R979" t="s">
        <v>17</v>
      </c>
      <c r="S979" t="s">
        <v>2033</v>
      </c>
      <c r="T979" t="s">
        <v>2034</v>
      </c>
    </row>
    <row r="980" spans="1:20" ht="17" hidden="1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>
        <f t="shared" si="45"/>
        <v>864</v>
      </c>
      <c r="G980" t="s">
        <v>20</v>
      </c>
      <c r="H980">
        <v>92</v>
      </c>
      <c r="I980" s="4">
        <f t="shared" si="46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9">
        <f>(((L980/60)/60)/24)+DATE(1970,1,1)</f>
        <v>42686.25</v>
      </c>
      <c r="O980" s="9">
        <f t="shared" si="47"/>
        <v>42708.25</v>
      </c>
      <c r="P980" t="b">
        <v>0</v>
      </c>
      <c r="Q980" t="b">
        <v>0</v>
      </c>
      <c r="R980" t="s">
        <v>89</v>
      </c>
      <c r="S980" t="s">
        <v>2050</v>
      </c>
      <c r="T980" t="s">
        <v>2051</v>
      </c>
    </row>
    <row r="981" spans="1:20" ht="17" hidden="1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>
        <f t="shared" si="45"/>
        <v>143</v>
      </c>
      <c r="G981" t="s">
        <v>20</v>
      </c>
      <c r="H981">
        <v>1015</v>
      </c>
      <c r="I981" s="4">
        <f t="shared" si="46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9">
        <f>(((L981/60)/60)/24)+DATE(1970,1,1)</f>
        <v>42078.208333333328</v>
      </c>
      <c r="O981" s="9">
        <f t="shared" si="47"/>
        <v>42084.208333333328</v>
      </c>
      <c r="P981" t="b">
        <v>0</v>
      </c>
      <c r="Q981" t="b">
        <v>0</v>
      </c>
      <c r="R981" t="s">
        <v>33</v>
      </c>
      <c r="S981" t="s">
        <v>2039</v>
      </c>
      <c r="T981" t="s">
        <v>2040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>
        <f t="shared" si="45"/>
        <v>40</v>
      </c>
      <c r="G982" t="s">
        <v>14</v>
      </c>
      <c r="H982">
        <v>742</v>
      </c>
      <c r="I982" s="4">
        <f t="shared" si="46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9">
        <f>(((L982/60)/60)/24)+DATE(1970,1,1)</f>
        <v>42307.208333333328</v>
      </c>
      <c r="O982" s="9">
        <f t="shared" si="47"/>
        <v>42312.25</v>
      </c>
      <c r="P982" t="b">
        <v>1</v>
      </c>
      <c r="Q982" t="b">
        <v>0</v>
      </c>
      <c r="R982" t="s">
        <v>68</v>
      </c>
      <c r="S982" t="s">
        <v>2047</v>
      </c>
      <c r="T982" t="s">
        <v>2048</v>
      </c>
    </row>
    <row r="983" spans="1:20" ht="17" hidden="1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>
        <f t="shared" si="45"/>
        <v>178</v>
      </c>
      <c r="G983" t="s">
        <v>20</v>
      </c>
      <c r="H983">
        <v>323</v>
      </c>
      <c r="I983" s="4">
        <f t="shared" si="46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9">
        <f>(((L983/60)/60)/24)+DATE(1970,1,1)</f>
        <v>43094.25</v>
      </c>
      <c r="O983" s="9">
        <f t="shared" si="47"/>
        <v>43127.25</v>
      </c>
      <c r="P983" t="b">
        <v>0</v>
      </c>
      <c r="Q983" t="b">
        <v>0</v>
      </c>
      <c r="R983" t="s">
        <v>28</v>
      </c>
      <c r="S983" t="s">
        <v>2037</v>
      </c>
      <c r="T983" t="s">
        <v>2038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>
        <f t="shared" si="45"/>
        <v>85</v>
      </c>
      <c r="G984" t="s">
        <v>14</v>
      </c>
      <c r="H984">
        <v>75</v>
      </c>
      <c r="I984" s="4">
        <f t="shared" si="46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9">
        <f>(((L984/60)/60)/24)+DATE(1970,1,1)</f>
        <v>40743.208333333336</v>
      </c>
      <c r="O984" s="9">
        <f t="shared" si="47"/>
        <v>40745.208333333336</v>
      </c>
      <c r="P984" t="b">
        <v>0</v>
      </c>
      <c r="Q984" t="b">
        <v>1</v>
      </c>
      <c r="R984" t="s">
        <v>42</v>
      </c>
      <c r="S984" t="s">
        <v>2041</v>
      </c>
      <c r="T984" t="s">
        <v>2042</v>
      </c>
    </row>
    <row r="985" spans="1:20" ht="17" hidden="1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>
        <f t="shared" si="45"/>
        <v>146</v>
      </c>
      <c r="G985" t="s">
        <v>20</v>
      </c>
      <c r="H985">
        <v>2326</v>
      </c>
      <c r="I985" s="4">
        <f t="shared" si="46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9">
        <f>(((L985/60)/60)/24)+DATE(1970,1,1)</f>
        <v>43681.208333333328</v>
      </c>
      <c r="O985" s="9">
        <f t="shared" si="47"/>
        <v>43696.208333333328</v>
      </c>
      <c r="P985" t="b">
        <v>0</v>
      </c>
      <c r="Q985" t="b">
        <v>0</v>
      </c>
      <c r="R985" t="s">
        <v>42</v>
      </c>
      <c r="S985" t="s">
        <v>2041</v>
      </c>
      <c r="T985" t="s">
        <v>2042</v>
      </c>
    </row>
    <row r="986" spans="1:20" ht="34" hidden="1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>
        <f t="shared" si="45"/>
        <v>152</v>
      </c>
      <c r="G986" t="s">
        <v>20</v>
      </c>
      <c r="H986">
        <v>381</v>
      </c>
      <c r="I986" s="4">
        <f t="shared" si="46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9">
        <f>(((L986/60)/60)/24)+DATE(1970,1,1)</f>
        <v>43716.208333333328</v>
      </c>
      <c r="O986" s="9">
        <f t="shared" si="47"/>
        <v>43742.208333333328</v>
      </c>
      <c r="P986" t="b">
        <v>0</v>
      </c>
      <c r="Q986" t="b">
        <v>0</v>
      </c>
      <c r="R986" t="s">
        <v>33</v>
      </c>
      <c r="S986" t="s">
        <v>2039</v>
      </c>
      <c r="T986" t="s">
        <v>2040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>
        <f t="shared" si="45"/>
        <v>67</v>
      </c>
      <c r="G987" t="s">
        <v>14</v>
      </c>
      <c r="H987">
        <v>4405</v>
      </c>
      <c r="I987" s="4">
        <f t="shared" si="46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9">
        <f>(((L987/60)/60)/24)+DATE(1970,1,1)</f>
        <v>41614.25</v>
      </c>
      <c r="O987" s="9">
        <f t="shared" si="47"/>
        <v>41640.25</v>
      </c>
      <c r="P987" t="b">
        <v>0</v>
      </c>
      <c r="Q987" t="b">
        <v>1</v>
      </c>
      <c r="R987" t="s">
        <v>23</v>
      </c>
      <c r="S987" t="s">
        <v>2035</v>
      </c>
      <c r="T987" t="s">
        <v>2036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>
        <f t="shared" si="45"/>
        <v>40</v>
      </c>
      <c r="G988" t="s">
        <v>14</v>
      </c>
      <c r="H988">
        <v>92</v>
      </c>
      <c r="I988" s="4">
        <f t="shared" si="46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9">
        <f>(((L988/60)/60)/24)+DATE(1970,1,1)</f>
        <v>40638.208333333336</v>
      </c>
      <c r="O988" s="9">
        <f t="shared" si="47"/>
        <v>40652.208333333336</v>
      </c>
      <c r="P988" t="b">
        <v>0</v>
      </c>
      <c r="Q988" t="b">
        <v>0</v>
      </c>
      <c r="R988" t="s">
        <v>23</v>
      </c>
      <c r="S988" t="s">
        <v>2035</v>
      </c>
      <c r="T988" t="s">
        <v>2036</v>
      </c>
    </row>
    <row r="989" spans="1:20" ht="17" hidden="1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>
        <f t="shared" si="45"/>
        <v>217</v>
      </c>
      <c r="G989" t="s">
        <v>20</v>
      </c>
      <c r="H989">
        <v>480</v>
      </c>
      <c r="I989" s="4">
        <f t="shared" si="46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9">
        <f>(((L989/60)/60)/24)+DATE(1970,1,1)</f>
        <v>42852.208333333328</v>
      </c>
      <c r="O989" s="9">
        <f t="shared" si="47"/>
        <v>42866.208333333328</v>
      </c>
      <c r="P989" t="b">
        <v>0</v>
      </c>
      <c r="Q989" t="b">
        <v>0</v>
      </c>
      <c r="R989" t="s">
        <v>42</v>
      </c>
      <c r="S989" t="s">
        <v>2041</v>
      </c>
      <c r="T989" t="s">
        <v>2042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>
        <f t="shared" si="45"/>
        <v>52</v>
      </c>
      <c r="G990" t="s">
        <v>14</v>
      </c>
      <c r="H990">
        <v>64</v>
      </c>
      <c r="I990" s="4">
        <f t="shared" si="46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9">
        <f>(((L990/60)/60)/24)+DATE(1970,1,1)</f>
        <v>42686.25</v>
      </c>
      <c r="O990" s="9">
        <f t="shared" si="47"/>
        <v>42707.25</v>
      </c>
      <c r="P990" t="b">
        <v>0</v>
      </c>
      <c r="Q990" t="b">
        <v>0</v>
      </c>
      <c r="R990" t="s">
        <v>133</v>
      </c>
      <c r="S990" t="s">
        <v>2047</v>
      </c>
      <c r="T990" t="s">
        <v>2056</v>
      </c>
    </row>
    <row r="991" spans="1:20" ht="17" hidden="1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>
        <f t="shared" si="45"/>
        <v>500</v>
      </c>
      <c r="G991" t="s">
        <v>20</v>
      </c>
      <c r="H991">
        <v>226</v>
      </c>
      <c r="I991" s="4">
        <f t="shared" si="46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9">
        <f>(((L991/60)/60)/24)+DATE(1970,1,1)</f>
        <v>43571.208333333328</v>
      </c>
      <c r="O991" s="9">
        <f t="shared" si="47"/>
        <v>43576.208333333328</v>
      </c>
      <c r="P991" t="b">
        <v>0</v>
      </c>
      <c r="Q991" t="b">
        <v>0</v>
      </c>
      <c r="R991" t="s">
        <v>206</v>
      </c>
      <c r="S991" t="s">
        <v>2047</v>
      </c>
      <c r="T991" t="s">
        <v>2059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>
        <f t="shared" si="45"/>
        <v>88</v>
      </c>
      <c r="G992" t="s">
        <v>14</v>
      </c>
      <c r="H992">
        <v>64</v>
      </c>
      <c r="I992" s="4">
        <f t="shared" si="46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9">
        <f>(((L992/60)/60)/24)+DATE(1970,1,1)</f>
        <v>42432.25</v>
      </c>
      <c r="O992" s="9">
        <f t="shared" si="47"/>
        <v>42454.208333333328</v>
      </c>
      <c r="P992" t="b">
        <v>0</v>
      </c>
      <c r="Q992" t="b">
        <v>1</v>
      </c>
      <c r="R992" t="s">
        <v>53</v>
      </c>
      <c r="S992" t="s">
        <v>2041</v>
      </c>
      <c r="T992" t="s">
        <v>2044</v>
      </c>
    </row>
    <row r="993" spans="1:20" ht="17" hidden="1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>
        <f t="shared" si="45"/>
        <v>113</v>
      </c>
      <c r="G993" t="s">
        <v>20</v>
      </c>
      <c r="H993">
        <v>241</v>
      </c>
      <c r="I993" s="4">
        <f t="shared" si="46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9">
        <f>(((L993/60)/60)/24)+DATE(1970,1,1)</f>
        <v>41907.208333333336</v>
      </c>
      <c r="O993" s="9">
        <f t="shared" si="47"/>
        <v>41911.208333333336</v>
      </c>
      <c r="P993" t="b">
        <v>0</v>
      </c>
      <c r="Q993" t="b">
        <v>1</v>
      </c>
      <c r="R993" t="s">
        <v>23</v>
      </c>
      <c r="S993" t="s">
        <v>2035</v>
      </c>
      <c r="T993" t="s">
        <v>2036</v>
      </c>
    </row>
    <row r="994" spans="1:20" ht="17" hidden="1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>
        <f t="shared" si="45"/>
        <v>427</v>
      </c>
      <c r="G994" t="s">
        <v>20</v>
      </c>
      <c r="H994">
        <v>132</v>
      </c>
      <c r="I994" s="4">
        <f t="shared" si="46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9">
        <f>(((L994/60)/60)/24)+DATE(1970,1,1)</f>
        <v>43227.208333333328</v>
      </c>
      <c r="O994" s="9">
        <f t="shared" si="47"/>
        <v>43241.208333333328</v>
      </c>
      <c r="P994" t="b">
        <v>0</v>
      </c>
      <c r="Q994" t="b">
        <v>1</v>
      </c>
      <c r="R994" t="s">
        <v>53</v>
      </c>
      <c r="S994" t="s">
        <v>2041</v>
      </c>
      <c r="T994" t="s">
        <v>2044</v>
      </c>
    </row>
    <row r="995" spans="1:20" ht="17" hidden="1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>
        <f t="shared" si="45"/>
        <v>78</v>
      </c>
      <c r="G995" t="s">
        <v>74</v>
      </c>
      <c r="H995">
        <v>75</v>
      </c>
      <c r="I995" s="4">
        <f t="shared" si="46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9">
        <f>(((L995/60)/60)/24)+DATE(1970,1,1)</f>
        <v>42362.25</v>
      </c>
      <c r="O995" s="9">
        <f t="shared" si="47"/>
        <v>42379.25</v>
      </c>
      <c r="P995" t="b">
        <v>0</v>
      </c>
      <c r="Q995" t="b">
        <v>1</v>
      </c>
      <c r="R995" t="s">
        <v>122</v>
      </c>
      <c r="S995" t="s">
        <v>2054</v>
      </c>
      <c r="T995" t="s">
        <v>2055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>
        <f t="shared" si="45"/>
        <v>52</v>
      </c>
      <c r="G996" t="s">
        <v>14</v>
      </c>
      <c r="H996">
        <v>842</v>
      </c>
      <c r="I996" s="4">
        <f t="shared" si="46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9">
        <f>(((L996/60)/60)/24)+DATE(1970,1,1)</f>
        <v>41929.208333333336</v>
      </c>
      <c r="O996" s="9">
        <f t="shared" si="47"/>
        <v>41935.208333333336</v>
      </c>
      <c r="P996" t="b">
        <v>0</v>
      </c>
      <c r="Q996" t="b">
        <v>1</v>
      </c>
      <c r="R996" t="s">
        <v>206</v>
      </c>
      <c r="S996" t="s">
        <v>2047</v>
      </c>
      <c r="T996" t="s">
        <v>2059</v>
      </c>
    </row>
    <row r="997" spans="1:20" ht="17" hidden="1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>
        <f t="shared" si="45"/>
        <v>157</v>
      </c>
      <c r="G997" t="s">
        <v>20</v>
      </c>
      <c r="H997">
        <v>2043</v>
      </c>
      <c r="I997" s="4">
        <f t="shared" si="46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9">
        <f>(((L997/60)/60)/24)+DATE(1970,1,1)</f>
        <v>43408.208333333328</v>
      </c>
      <c r="O997" s="9">
        <f t="shared" si="47"/>
        <v>43437.25</v>
      </c>
      <c r="P997" t="b">
        <v>0</v>
      </c>
      <c r="Q997" t="b">
        <v>1</v>
      </c>
      <c r="R997" t="s">
        <v>17</v>
      </c>
      <c r="S997" t="s">
        <v>2033</v>
      </c>
      <c r="T997" t="s">
        <v>2034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>
        <f t="shared" si="45"/>
        <v>73</v>
      </c>
      <c r="G998" t="s">
        <v>14</v>
      </c>
      <c r="H998">
        <v>112</v>
      </c>
      <c r="I998" s="4">
        <f t="shared" si="46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9">
        <f>(((L998/60)/60)/24)+DATE(1970,1,1)</f>
        <v>41276.25</v>
      </c>
      <c r="O998" s="9">
        <f t="shared" si="47"/>
        <v>41306.25</v>
      </c>
      <c r="P998" t="b">
        <v>0</v>
      </c>
      <c r="Q998" t="b">
        <v>0</v>
      </c>
      <c r="R998" t="s">
        <v>33</v>
      </c>
      <c r="S998" t="s">
        <v>2039</v>
      </c>
      <c r="T998" t="s">
        <v>2040</v>
      </c>
    </row>
    <row r="999" spans="1:20" ht="17" hidden="1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>
        <f t="shared" si="45"/>
        <v>61</v>
      </c>
      <c r="G999" t="s">
        <v>74</v>
      </c>
      <c r="H999">
        <v>139</v>
      </c>
      <c r="I999" s="4">
        <f t="shared" si="46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9">
        <f>(((L999/60)/60)/24)+DATE(1970,1,1)</f>
        <v>41659.25</v>
      </c>
      <c r="O999" s="9">
        <f t="shared" si="47"/>
        <v>41664.25</v>
      </c>
      <c r="P999" t="b">
        <v>0</v>
      </c>
      <c r="Q999" t="b">
        <v>0</v>
      </c>
      <c r="R999" t="s">
        <v>33</v>
      </c>
      <c r="S999" t="s">
        <v>2039</v>
      </c>
      <c r="T999" t="s">
        <v>2040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>
        <f t="shared" si="45"/>
        <v>57</v>
      </c>
      <c r="G1000" t="s">
        <v>14</v>
      </c>
      <c r="H1000">
        <v>374</v>
      </c>
      <c r="I1000" s="4">
        <f t="shared" si="46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9">
        <f>(((L1000/60)/60)/24)+DATE(1970,1,1)</f>
        <v>40220.25</v>
      </c>
      <c r="O1000" s="9">
        <f t="shared" si="47"/>
        <v>40234.25</v>
      </c>
      <c r="P1000" t="b">
        <v>0</v>
      </c>
      <c r="Q1000" t="b">
        <v>1</v>
      </c>
      <c r="R1000" t="s">
        <v>60</v>
      </c>
      <c r="S1000" t="s">
        <v>2035</v>
      </c>
      <c r="T1000" t="s">
        <v>2045</v>
      </c>
    </row>
    <row r="1001" spans="1:20" ht="17" hidden="1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>
        <f t="shared" si="45"/>
        <v>57</v>
      </c>
      <c r="G1001" t="s">
        <v>74</v>
      </c>
      <c r="H1001">
        <v>1122</v>
      </c>
      <c r="I1001" s="4">
        <f t="shared" si="46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9">
        <f>(((L1001/60)/60)/24)+DATE(1970,1,1)</f>
        <v>42550.208333333328</v>
      </c>
      <c r="O1001" s="9">
        <f t="shared" si="47"/>
        <v>42557.208333333328</v>
      </c>
      <c r="P1001" t="b">
        <v>0</v>
      </c>
      <c r="Q1001" t="b">
        <v>0</v>
      </c>
      <c r="R1001" t="s">
        <v>17</v>
      </c>
      <c r="S1001" t="s">
        <v>2033</v>
      </c>
      <c r="T1001" t="s">
        <v>2034</v>
      </c>
    </row>
    <row r="1002" spans="1:20" x14ac:dyDescent="0.2">
      <c r="I1002" s="4"/>
    </row>
    <row r="1003" spans="1:20" x14ac:dyDescent="0.2">
      <c r="I1003" s="4"/>
    </row>
    <row r="1004" spans="1:20" x14ac:dyDescent="0.2">
      <c r="I1004" s="4"/>
    </row>
    <row r="1005" spans="1:20" x14ac:dyDescent="0.2">
      <c r="I1005" s="4"/>
    </row>
    <row r="1006" spans="1:20" x14ac:dyDescent="0.2">
      <c r="I1006" s="4"/>
    </row>
    <row r="1007" spans="1:20" x14ac:dyDescent="0.2">
      <c r="I1007" s="4"/>
    </row>
    <row r="1008" spans="1:20" x14ac:dyDescent="0.2">
      <c r="I1008" s="4"/>
    </row>
  </sheetData>
  <autoFilter ref="A1:T1001" xr:uid="{00000000-0001-0000-0000-000000000000}">
    <filterColumn colId="6">
      <filters>
        <filter val="failed"/>
      </filters>
    </filterColumn>
  </autoFilter>
  <conditionalFormatting sqref="G1:G1048576">
    <cfRule type="containsText" dxfId="11" priority="2" operator="containsText" text="canceled">
      <formula>NOT(ISERROR(SEARCH("canceled",G1)))</formula>
    </cfRule>
    <cfRule type="containsText" dxfId="10" priority="3" operator="containsText" text="live">
      <formula>NOT(ISERROR(SEARCH("live",G1)))</formula>
    </cfRule>
    <cfRule type="containsText" dxfId="9" priority="4" operator="containsText" text="successful">
      <formula>NOT(ISERROR(SEARCH("successful",G1)))</formula>
    </cfRule>
    <cfRule type="containsText" dxfId="8" priority="5" operator="containsText" text="failed">
      <formula>NOT(ISERROR(SEARCH("failed",G1)))</formula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FF0000"/>
        <color rgb="FF92D050"/>
        <color rgb="FF00B0F0"/>
      </colorScale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127-C5E5-3B4B-B8C7-689C7BF0422A}">
  <sheetPr codeName="Sheet6"/>
  <dimension ref="A1:H566"/>
  <sheetViews>
    <sheetView tabSelected="1" workbookViewId="0">
      <selection activeCell="K5" sqref="K5"/>
    </sheetView>
  </sheetViews>
  <sheetFormatPr baseColWidth="10" defaultRowHeight="16" x14ac:dyDescent="0.2"/>
  <cols>
    <col min="2" max="2" width="13" bestFit="1" customWidth="1"/>
    <col min="3" max="3" width="8.33203125" bestFit="1" customWidth="1"/>
    <col min="4" max="4" width="13" bestFit="1" customWidth="1"/>
  </cols>
  <sheetData>
    <row r="1" spans="1:8" x14ac:dyDescent="0.2">
      <c r="A1" s="1" t="s">
        <v>4</v>
      </c>
      <c r="B1" s="1" t="s">
        <v>5</v>
      </c>
      <c r="C1" s="1" t="s">
        <v>4</v>
      </c>
      <c r="D1" s="1" t="s">
        <v>5</v>
      </c>
      <c r="G1" t="s">
        <v>2112</v>
      </c>
      <c r="H1" t="s">
        <v>2113</v>
      </c>
    </row>
    <row r="2" spans="1:8" x14ac:dyDescent="0.2">
      <c r="A2" t="s">
        <v>20</v>
      </c>
      <c r="B2">
        <v>158</v>
      </c>
      <c r="C2" t="s">
        <v>14</v>
      </c>
      <c r="D2">
        <v>0</v>
      </c>
      <c r="F2" t="s">
        <v>2106</v>
      </c>
      <c r="G2" s="12">
        <f>AVERAGE(B2:B566)</f>
        <v>851.14690265486729</v>
      </c>
      <c r="H2" s="13">
        <f>AVERAGE(D2:D365)</f>
        <v>585.61538461538464</v>
      </c>
    </row>
    <row r="3" spans="1:8" x14ac:dyDescent="0.2">
      <c r="A3" t="s">
        <v>20</v>
      </c>
      <c r="B3">
        <v>1425</v>
      </c>
      <c r="C3" t="s">
        <v>14</v>
      </c>
      <c r="D3">
        <v>24</v>
      </c>
      <c r="F3" t="s">
        <v>2107</v>
      </c>
      <c r="G3" s="12">
        <f>MEDIAN(B2:B566)</f>
        <v>201</v>
      </c>
      <c r="H3" s="13">
        <f>MEDIAN(D2:D365)</f>
        <v>114.5</v>
      </c>
    </row>
    <row r="4" spans="1:8" x14ac:dyDescent="0.2">
      <c r="A4" t="s">
        <v>20</v>
      </c>
      <c r="B4">
        <v>174</v>
      </c>
      <c r="C4" t="s">
        <v>14</v>
      </c>
      <c r="D4">
        <v>53</v>
      </c>
      <c r="F4" t="s">
        <v>2108</v>
      </c>
      <c r="G4" s="12">
        <f>MIN(B2:B566)</f>
        <v>16</v>
      </c>
      <c r="H4" s="13">
        <f>MIN(D2:D365)</f>
        <v>0</v>
      </c>
    </row>
    <row r="5" spans="1:8" x14ac:dyDescent="0.2">
      <c r="A5" t="s">
        <v>20</v>
      </c>
      <c r="B5">
        <v>227</v>
      </c>
      <c r="C5" t="s">
        <v>14</v>
      </c>
      <c r="D5">
        <v>18</v>
      </c>
      <c r="F5" t="s">
        <v>2109</v>
      </c>
      <c r="G5" s="12">
        <f>MAX(B2:B566)</f>
        <v>7295</v>
      </c>
      <c r="H5" s="13">
        <f>MAX(D2:D365)</f>
        <v>6080</v>
      </c>
    </row>
    <row r="6" spans="1:8" x14ac:dyDescent="0.2">
      <c r="A6" t="s">
        <v>20</v>
      </c>
      <c r="B6">
        <v>220</v>
      </c>
      <c r="C6" t="s">
        <v>14</v>
      </c>
      <c r="D6">
        <v>44</v>
      </c>
      <c r="F6" t="s">
        <v>2110</v>
      </c>
      <c r="G6" s="12">
        <f>_xlfn.VAR.P(B2:B566)</f>
        <v>1603373.7324019109</v>
      </c>
      <c r="H6" s="13">
        <f>_xlfn.VAR.P(D2:D365)</f>
        <v>921574.68174133555</v>
      </c>
    </row>
    <row r="7" spans="1:8" x14ac:dyDescent="0.2">
      <c r="A7" t="s">
        <v>20</v>
      </c>
      <c r="B7">
        <v>98</v>
      </c>
      <c r="C7" t="s">
        <v>14</v>
      </c>
      <c r="D7">
        <v>27</v>
      </c>
      <c r="F7" t="s">
        <v>2111</v>
      </c>
      <c r="G7" s="12">
        <f>_xlfn.STDEV.P(B2:B566)</f>
        <v>1266.2439466397898</v>
      </c>
      <c r="H7" s="13">
        <f>_xlfn.STDEV.P(D2:D365)</f>
        <v>959.98681331637863</v>
      </c>
    </row>
    <row r="8" spans="1:8" x14ac:dyDescent="0.2">
      <c r="A8" t="s">
        <v>20</v>
      </c>
      <c r="B8">
        <v>100</v>
      </c>
      <c r="C8" t="s">
        <v>14</v>
      </c>
      <c r="D8">
        <v>55</v>
      </c>
    </row>
    <row r="9" spans="1:8" x14ac:dyDescent="0.2">
      <c r="A9" t="s">
        <v>20</v>
      </c>
      <c r="B9">
        <v>1249</v>
      </c>
      <c r="C9" t="s">
        <v>14</v>
      </c>
      <c r="D9">
        <v>200</v>
      </c>
    </row>
    <row r="10" spans="1:8" x14ac:dyDescent="0.2">
      <c r="A10" t="s">
        <v>20</v>
      </c>
      <c r="B10">
        <v>1396</v>
      </c>
      <c r="C10" t="s">
        <v>14</v>
      </c>
      <c r="D10">
        <v>452</v>
      </c>
    </row>
    <row r="11" spans="1:8" x14ac:dyDescent="0.2">
      <c r="A11" t="s">
        <v>20</v>
      </c>
      <c r="B11">
        <v>890</v>
      </c>
      <c r="C11" t="s">
        <v>14</v>
      </c>
      <c r="D11">
        <v>674</v>
      </c>
    </row>
    <row r="12" spans="1:8" x14ac:dyDescent="0.2">
      <c r="A12" t="s">
        <v>20</v>
      </c>
      <c r="B12">
        <v>142</v>
      </c>
      <c r="C12" t="s">
        <v>14</v>
      </c>
      <c r="D12">
        <v>558</v>
      </c>
    </row>
    <row r="13" spans="1:8" x14ac:dyDescent="0.2">
      <c r="A13" t="s">
        <v>20</v>
      </c>
      <c r="B13">
        <v>2673</v>
      </c>
      <c r="C13" t="s">
        <v>14</v>
      </c>
      <c r="D13">
        <v>15</v>
      </c>
    </row>
    <row r="14" spans="1:8" x14ac:dyDescent="0.2">
      <c r="A14" t="s">
        <v>20</v>
      </c>
      <c r="B14">
        <v>163</v>
      </c>
      <c r="C14" t="s">
        <v>14</v>
      </c>
      <c r="D14">
        <v>2307</v>
      </c>
    </row>
    <row r="15" spans="1:8" x14ac:dyDescent="0.2">
      <c r="A15" t="s">
        <v>20</v>
      </c>
      <c r="B15">
        <v>2220</v>
      </c>
      <c r="C15" t="s">
        <v>14</v>
      </c>
      <c r="D15">
        <v>88</v>
      </c>
    </row>
    <row r="16" spans="1:8" x14ac:dyDescent="0.2">
      <c r="A16" t="s">
        <v>20</v>
      </c>
      <c r="B16">
        <v>1606</v>
      </c>
      <c r="C16" t="s">
        <v>14</v>
      </c>
      <c r="D16">
        <v>48</v>
      </c>
    </row>
    <row r="17" spans="1:4" x14ac:dyDescent="0.2">
      <c r="A17" t="s">
        <v>20</v>
      </c>
      <c r="B17">
        <v>129</v>
      </c>
      <c r="C17" t="s">
        <v>14</v>
      </c>
      <c r="D17">
        <v>1</v>
      </c>
    </row>
    <row r="18" spans="1:4" x14ac:dyDescent="0.2">
      <c r="A18" t="s">
        <v>20</v>
      </c>
      <c r="B18">
        <v>226</v>
      </c>
      <c r="C18" t="s">
        <v>14</v>
      </c>
      <c r="D18">
        <v>1467</v>
      </c>
    </row>
    <row r="19" spans="1:4" x14ac:dyDescent="0.2">
      <c r="A19" t="s">
        <v>20</v>
      </c>
      <c r="B19">
        <v>5419</v>
      </c>
      <c r="C19" t="s">
        <v>14</v>
      </c>
      <c r="D19">
        <v>75</v>
      </c>
    </row>
    <row r="20" spans="1:4" x14ac:dyDescent="0.2">
      <c r="A20" t="s">
        <v>20</v>
      </c>
      <c r="B20">
        <v>165</v>
      </c>
      <c r="C20" t="s">
        <v>14</v>
      </c>
      <c r="D20">
        <v>120</v>
      </c>
    </row>
    <row r="21" spans="1:4" x14ac:dyDescent="0.2">
      <c r="A21" t="s">
        <v>20</v>
      </c>
      <c r="B21">
        <v>1965</v>
      </c>
      <c r="C21" t="s">
        <v>14</v>
      </c>
      <c r="D21">
        <v>2253</v>
      </c>
    </row>
    <row r="22" spans="1:4" x14ac:dyDescent="0.2">
      <c r="A22" t="s">
        <v>20</v>
      </c>
      <c r="B22">
        <v>16</v>
      </c>
      <c r="C22" t="s">
        <v>14</v>
      </c>
      <c r="D22">
        <v>5</v>
      </c>
    </row>
    <row r="23" spans="1:4" x14ac:dyDescent="0.2">
      <c r="A23" t="s">
        <v>20</v>
      </c>
      <c r="B23">
        <v>107</v>
      </c>
      <c r="C23" t="s">
        <v>14</v>
      </c>
      <c r="D23">
        <v>38</v>
      </c>
    </row>
    <row r="24" spans="1:4" x14ac:dyDescent="0.2">
      <c r="A24" t="s">
        <v>20</v>
      </c>
      <c r="B24">
        <v>134</v>
      </c>
      <c r="C24" t="s">
        <v>14</v>
      </c>
      <c r="D24">
        <v>12</v>
      </c>
    </row>
    <row r="25" spans="1:4" x14ac:dyDescent="0.2">
      <c r="A25" t="s">
        <v>20</v>
      </c>
      <c r="B25">
        <v>198</v>
      </c>
      <c r="C25" t="s">
        <v>14</v>
      </c>
      <c r="D25">
        <v>1684</v>
      </c>
    </row>
    <row r="26" spans="1:4" x14ac:dyDescent="0.2">
      <c r="A26" t="s">
        <v>20</v>
      </c>
      <c r="B26">
        <v>111</v>
      </c>
      <c r="C26" t="s">
        <v>14</v>
      </c>
      <c r="D26">
        <v>56</v>
      </c>
    </row>
    <row r="27" spans="1:4" x14ac:dyDescent="0.2">
      <c r="A27" t="s">
        <v>20</v>
      </c>
      <c r="B27">
        <v>222</v>
      </c>
      <c r="C27" t="s">
        <v>14</v>
      </c>
      <c r="D27">
        <v>838</v>
      </c>
    </row>
    <row r="28" spans="1:4" x14ac:dyDescent="0.2">
      <c r="A28" t="s">
        <v>20</v>
      </c>
      <c r="B28">
        <v>6212</v>
      </c>
      <c r="C28" t="s">
        <v>14</v>
      </c>
      <c r="D28">
        <v>1000</v>
      </c>
    </row>
    <row r="29" spans="1:4" x14ac:dyDescent="0.2">
      <c r="A29" t="s">
        <v>20</v>
      </c>
      <c r="B29">
        <v>98</v>
      </c>
      <c r="C29" t="s">
        <v>14</v>
      </c>
      <c r="D29">
        <v>1482</v>
      </c>
    </row>
    <row r="30" spans="1:4" x14ac:dyDescent="0.2">
      <c r="A30" t="s">
        <v>20</v>
      </c>
      <c r="B30">
        <v>92</v>
      </c>
      <c r="C30" t="s">
        <v>14</v>
      </c>
      <c r="D30">
        <v>106</v>
      </c>
    </row>
    <row r="31" spans="1:4" x14ac:dyDescent="0.2">
      <c r="A31" t="s">
        <v>20</v>
      </c>
      <c r="B31">
        <v>149</v>
      </c>
      <c r="C31" t="s">
        <v>14</v>
      </c>
      <c r="D31">
        <v>679</v>
      </c>
    </row>
    <row r="32" spans="1:4" x14ac:dyDescent="0.2">
      <c r="A32" t="s">
        <v>20</v>
      </c>
      <c r="B32">
        <v>2431</v>
      </c>
      <c r="C32" t="s">
        <v>14</v>
      </c>
      <c r="D32">
        <v>1220</v>
      </c>
    </row>
    <row r="33" spans="1:4" x14ac:dyDescent="0.2">
      <c r="A33" t="s">
        <v>20</v>
      </c>
      <c r="B33">
        <v>303</v>
      </c>
      <c r="C33" t="s">
        <v>14</v>
      </c>
      <c r="D33">
        <v>1</v>
      </c>
    </row>
    <row r="34" spans="1:4" x14ac:dyDescent="0.2">
      <c r="A34" t="s">
        <v>20</v>
      </c>
      <c r="B34">
        <v>209</v>
      </c>
      <c r="C34" t="s">
        <v>14</v>
      </c>
      <c r="D34">
        <v>37</v>
      </c>
    </row>
    <row r="35" spans="1:4" x14ac:dyDescent="0.2">
      <c r="A35" t="s">
        <v>20</v>
      </c>
      <c r="B35">
        <v>131</v>
      </c>
      <c r="C35" t="s">
        <v>14</v>
      </c>
      <c r="D35">
        <v>60</v>
      </c>
    </row>
    <row r="36" spans="1:4" x14ac:dyDescent="0.2">
      <c r="A36" t="s">
        <v>20</v>
      </c>
      <c r="B36">
        <v>164</v>
      </c>
      <c r="C36" t="s">
        <v>14</v>
      </c>
      <c r="D36">
        <v>296</v>
      </c>
    </row>
    <row r="37" spans="1:4" x14ac:dyDescent="0.2">
      <c r="A37" t="s">
        <v>20</v>
      </c>
      <c r="B37">
        <v>201</v>
      </c>
      <c r="C37" t="s">
        <v>14</v>
      </c>
      <c r="D37">
        <v>3304</v>
      </c>
    </row>
    <row r="38" spans="1:4" x14ac:dyDescent="0.2">
      <c r="A38" t="s">
        <v>20</v>
      </c>
      <c r="B38">
        <v>211</v>
      </c>
      <c r="C38" t="s">
        <v>14</v>
      </c>
      <c r="D38">
        <v>73</v>
      </c>
    </row>
    <row r="39" spans="1:4" x14ac:dyDescent="0.2">
      <c r="A39" t="s">
        <v>20</v>
      </c>
      <c r="B39">
        <v>128</v>
      </c>
      <c r="C39" t="s">
        <v>14</v>
      </c>
      <c r="D39">
        <v>3387</v>
      </c>
    </row>
    <row r="40" spans="1:4" x14ac:dyDescent="0.2">
      <c r="A40" t="s">
        <v>20</v>
      </c>
      <c r="B40">
        <v>1600</v>
      </c>
      <c r="C40" t="s">
        <v>14</v>
      </c>
      <c r="D40">
        <v>662</v>
      </c>
    </row>
    <row r="41" spans="1:4" x14ac:dyDescent="0.2">
      <c r="A41" t="s">
        <v>20</v>
      </c>
      <c r="B41">
        <v>249</v>
      </c>
      <c r="C41" t="s">
        <v>14</v>
      </c>
      <c r="D41">
        <v>774</v>
      </c>
    </row>
    <row r="42" spans="1:4" x14ac:dyDescent="0.2">
      <c r="A42" t="s">
        <v>20</v>
      </c>
      <c r="B42">
        <v>236</v>
      </c>
      <c r="C42" t="s">
        <v>14</v>
      </c>
      <c r="D42">
        <v>672</v>
      </c>
    </row>
    <row r="43" spans="1:4" x14ac:dyDescent="0.2">
      <c r="A43" t="s">
        <v>20</v>
      </c>
      <c r="B43">
        <v>4065</v>
      </c>
      <c r="C43" t="s">
        <v>14</v>
      </c>
      <c r="D43">
        <v>940</v>
      </c>
    </row>
    <row r="44" spans="1:4" x14ac:dyDescent="0.2">
      <c r="A44" t="s">
        <v>20</v>
      </c>
      <c r="B44">
        <v>246</v>
      </c>
      <c r="C44" t="s">
        <v>14</v>
      </c>
      <c r="D44">
        <v>117</v>
      </c>
    </row>
    <row r="45" spans="1:4" x14ac:dyDescent="0.2">
      <c r="A45" t="s">
        <v>20</v>
      </c>
      <c r="B45">
        <v>2475</v>
      </c>
      <c r="C45" t="s">
        <v>14</v>
      </c>
      <c r="D45">
        <v>115</v>
      </c>
    </row>
    <row r="46" spans="1:4" x14ac:dyDescent="0.2">
      <c r="A46" t="s">
        <v>20</v>
      </c>
      <c r="B46">
        <v>76</v>
      </c>
      <c r="C46" t="s">
        <v>14</v>
      </c>
      <c r="D46">
        <v>326</v>
      </c>
    </row>
    <row r="47" spans="1:4" x14ac:dyDescent="0.2">
      <c r="A47" t="s">
        <v>20</v>
      </c>
      <c r="B47">
        <v>54</v>
      </c>
      <c r="C47" t="s">
        <v>14</v>
      </c>
      <c r="D47">
        <v>1</v>
      </c>
    </row>
    <row r="48" spans="1:4" x14ac:dyDescent="0.2">
      <c r="A48" t="s">
        <v>20</v>
      </c>
      <c r="B48">
        <v>88</v>
      </c>
      <c r="C48" t="s">
        <v>14</v>
      </c>
      <c r="D48">
        <v>1467</v>
      </c>
    </row>
    <row r="49" spans="1:4" x14ac:dyDescent="0.2">
      <c r="A49" t="s">
        <v>20</v>
      </c>
      <c r="B49">
        <v>85</v>
      </c>
      <c r="C49" t="s">
        <v>14</v>
      </c>
      <c r="D49">
        <v>5681</v>
      </c>
    </row>
    <row r="50" spans="1:4" x14ac:dyDescent="0.2">
      <c r="A50" t="s">
        <v>20</v>
      </c>
      <c r="B50">
        <v>170</v>
      </c>
      <c r="C50" t="s">
        <v>14</v>
      </c>
      <c r="D50">
        <v>1059</v>
      </c>
    </row>
    <row r="51" spans="1:4" x14ac:dyDescent="0.2">
      <c r="A51" t="s">
        <v>20</v>
      </c>
      <c r="B51">
        <v>330</v>
      </c>
      <c r="C51" t="s">
        <v>14</v>
      </c>
      <c r="D51">
        <v>1194</v>
      </c>
    </row>
    <row r="52" spans="1:4" x14ac:dyDescent="0.2">
      <c r="A52" t="s">
        <v>20</v>
      </c>
      <c r="B52">
        <v>127</v>
      </c>
      <c r="C52" t="s">
        <v>14</v>
      </c>
      <c r="D52">
        <v>30</v>
      </c>
    </row>
    <row r="53" spans="1:4" x14ac:dyDescent="0.2">
      <c r="A53" t="s">
        <v>20</v>
      </c>
      <c r="B53">
        <v>411</v>
      </c>
      <c r="C53" t="s">
        <v>14</v>
      </c>
      <c r="D53">
        <v>75</v>
      </c>
    </row>
    <row r="54" spans="1:4" x14ac:dyDescent="0.2">
      <c r="A54" t="s">
        <v>20</v>
      </c>
      <c r="B54">
        <v>180</v>
      </c>
      <c r="C54" t="s">
        <v>14</v>
      </c>
      <c r="D54">
        <v>955</v>
      </c>
    </row>
    <row r="55" spans="1:4" x14ac:dyDescent="0.2">
      <c r="A55" t="s">
        <v>20</v>
      </c>
      <c r="B55">
        <v>374</v>
      </c>
      <c r="C55" t="s">
        <v>14</v>
      </c>
      <c r="D55">
        <v>67</v>
      </c>
    </row>
    <row r="56" spans="1:4" x14ac:dyDescent="0.2">
      <c r="A56" t="s">
        <v>20</v>
      </c>
      <c r="B56">
        <v>71</v>
      </c>
      <c r="C56" t="s">
        <v>14</v>
      </c>
      <c r="D56">
        <v>5</v>
      </c>
    </row>
    <row r="57" spans="1:4" x14ac:dyDescent="0.2">
      <c r="A57" t="s">
        <v>20</v>
      </c>
      <c r="B57">
        <v>203</v>
      </c>
      <c r="C57" t="s">
        <v>14</v>
      </c>
      <c r="D57">
        <v>26</v>
      </c>
    </row>
    <row r="58" spans="1:4" x14ac:dyDescent="0.2">
      <c r="A58" t="s">
        <v>20</v>
      </c>
      <c r="B58">
        <v>113</v>
      </c>
      <c r="C58" t="s">
        <v>14</v>
      </c>
      <c r="D58">
        <v>1130</v>
      </c>
    </row>
    <row r="59" spans="1:4" x14ac:dyDescent="0.2">
      <c r="A59" t="s">
        <v>20</v>
      </c>
      <c r="B59">
        <v>96</v>
      </c>
      <c r="C59" t="s">
        <v>14</v>
      </c>
      <c r="D59">
        <v>782</v>
      </c>
    </row>
    <row r="60" spans="1:4" x14ac:dyDescent="0.2">
      <c r="A60" t="s">
        <v>20</v>
      </c>
      <c r="B60">
        <v>498</v>
      </c>
      <c r="C60" t="s">
        <v>14</v>
      </c>
      <c r="D60">
        <v>210</v>
      </c>
    </row>
    <row r="61" spans="1:4" x14ac:dyDescent="0.2">
      <c r="A61" t="s">
        <v>20</v>
      </c>
      <c r="B61">
        <v>180</v>
      </c>
      <c r="C61" t="s">
        <v>14</v>
      </c>
      <c r="D61">
        <v>136</v>
      </c>
    </row>
    <row r="62" spans="1:4" x14ac:dyDescent="0.2">
      <c r="A62" t="s">
        <v>20</v>
      </c>
      <c r="B62">
        <v>27</v>
      </c>
      <c r="C62" t="s">
        <v>14</v>
      </c>
      <c r="D62">
        <v>86</v>
      </c>
    </row>
    <row r="63" spans="1:4" x14ac:dyDescent="0.2">
      <c r="A63" t="s">
        <v>20</v>
      </c>
      <c r="B63">
        <v>2331</v>
      </c>
      <c r="C63" t="s">
        <v>14</v>
      </c>
      <c r="D63">
        <v>19</v>
      </c>
    </row>
    <row r="64" spans="1:4" x14ac:dyDescent="0.2">
      <c r="A64" t="s">
        <v>20</v>
      </c>
      <c r="B64">
        <v>113</v>
      </c>
      <c r="C64" t="s">
        <v>14</v>
      </c>
      <c r="D64">
        <v>886</v>
      </c>
    </row>
    <row r="65" spans="1:4" x14ac:dyDescent="0.2">
      <c r="A65" t="s">
        <v>20</v>
      </c>
      <c r="B65">
        <v>164</v>
      </c>
      <c r="C65" t="s">
        <v>14</v>
      </c>
      <c r="D65">
        <v>35</v>
      </c>
    </row>
    <row r="66" spans="1:4" x14ac:dyDescent="0.2">
      <c r="A66" t="s">
        <v>20</v>
      </c>
      <c r="B66">
        <v>164</v>
      </c>
      <c r="C66" t="s">
        <v>14</v>
      </c>
      <c r="D66">
        <v>24</v>
      </c>
    </row>
    <row r="67" spans="1:4" x14ac:dyDescent="0.2">
      <c r="A67" t="s">
        <v>20</v>
      </c>
      <c r="B67">
        <v>336</v>
      </c>
      <c r="C67" t="s">
        <v>14</v>
      </c>
      <c r="D67">
        <v>86</v>
      </c>
    </row>
    <row r="68" spans="1:4" x14ac:dyDescent="0.2">
      <c r="A68" t="s">
        <v>20</v>
      </c>
      <c r="B68">
        <v>1917</v>
      </c>
      <c r="C68" t="s">
        <v>14</v>
      </c>
      <c r="D68">
        <v>243</v>
      </c>
    </row>
    <row r="69" spans="1:4" x14ac:dyDescent="0.2">
      <c r="A69" t="s">
        <v>20</v>
      </c>
      <c r="B69">
        <v>95</v>
      </c>
      <c r="C69" t="s">
        <v>14</v>
      </c>
      <c r="D69">
        <v>65</v>
      </c>
    </row>
    <row r="70" spans="1:4" x14ac:dyDescent="0.2">
      <c r="A70" t="s">
        <v>20</v>
      </c>
      <c r="B70">
        <v>147</v>
      </c>
      <c r="C70" t="s">
        <v>14</v>
      </c>
      <c r="D70">
        <v>100</v>
      </c>
    </row>
    <row r="71" spans="1:4" x14ac:dyDescent="0.2">
      <c r="A71" t="s">
        <v>20</v>
      </c>
      <c r="B71">
        <v>86</v>
      </c>
      <c r="C71" t="s">
        <v>14</v>
      </c>
      <c r="D71">
        <v>168</v>
      </c>
    </row>
    <row r="72" spans="1:4" x14ac:dyDescent="0.2">
      <c r="A72" t="s">
        <v>20</v>
      </c>
      <c r="B72">
        <v>83</v>
      </c>
      <c r="C72" t="s">
        <v>14</v>
      </c>
      <c r="D72">
        <v>13</v>
      </c>
    </row>
    <row r="73" spans="1:4" x14ac:dyDescent="0.2">
      <c r="A73" t="s">
        <v>20</v>
      </c>
      <c r="B73">
        <v>676</v>
      </c>
      <c r="C73" t="s">
        <v>14</v>
      </c>
      <c r="D73">
        <v>1</v>
      </c>
    </row>
    <row r="74" spans="1:4" x14ac:dyDescent="0.2">
      <c r="A74" t="s">
        <v>20</v>
      </c>
      <c r="B74">
        <v>361</v>
      </c>
      <c r="C74" t="s">
        <v>14</v>
      </c>
      <c r="D74">
        <v>40</v>
      </c>
    </row>
    <row r="75" spans="1:4" x14ac:dyDescent="0.2">
      <c r="A75" t="s">
        <v>20</v>
      </c>
      <c r="B75">
        <v>131</v>
      </c>
      <c r="C75" t="s">
        <v>14</v>
      </c>
      <c r="D75">
        <v>226</v>
      </c>
    </row>
    <row r="76" spans="1:4" x14ac:dyDescent="0.2">
      <c r="A76" t="s">
        <v>20</v>
      </c>
      <c r="B76">
        <v>126</v>
      </c>
      <c r="C76" t="s">
        <v>14</v>
      </c>
      <c r="D76">
        <v>1625</v>
      </c>
    </row>
    <row r="77" spans="1:4" x14ac:dyDescent="0.2">
      <c r="A77" t="s">
        <v>20</v>
      </c>
      <c r="B77">
        <v>275</v>
      </c>
      <c r="C77" t="s">
        <v>14</v>
      </c>
      <c r="D77">
        <v>143</v>
      </c>
    </row>
    <row r="78" spans="1:4" x14ac:dyDescent="0.2">
      <c r="A78" t="s">
        <v>20</v>
      </c>
      <c r="B78">
        <v>67</v>
      </c>
      <c r="C78" t="s">
        <v>14</v>
      </c>
      <c r="D78">
        <v>934</v>
      </c>
    </row>
    <row r="79" spans="1:4" x14ac:dyDescent="0.2">
      <c r="A79" t="s">
        <v>20</v>
      </c>
      <c r="B79">
        <v>154</v>
      </c>
      <c r="C79" t="s">
        <v>14</v>
      </c>
      <c r="D79">
        <v>17</v>
      </c>
    </row>
    <row r="80" spans="1:4" x14ac:dyDescent="0.2">
      <c r="A80" t="s">
        <v>20</v>
      </c>
      <c r="B80">
        <v>1782</v>
      </c>
      <c r="C80" t="s">
        <v>14</v>
      </c>
      <c r="D80">
        <v>2179</v>
      </c>
    </row>
    <row r="81" spans="1:4" x14ac:dyDescent="0.2">
      <c r="A81" t="s">
        <v>20</v>
      </c>
      <c r="B81">
        <v>903</v>
      </c>
      <c r="C81" t="s">
        <v>14</v>
      </c>
      <c r="D81">
        <v>931</v>
      </c>
    </row>
    <row r="82" spans="1:4" x14ac:dyDescent="0.2">
      <c r="A82" t="s">
        <v>20</v>
      </c>
      <c r="B82">
        <v>94</v>
      </c>
      <c r="C82" t="s">
        <v>14</v>
      </c>
      <c r="D82">
        <v>92</v>
      </c>
    </row>
    <row r="83" spans="1:4" x14ac:dyDescent="0.2">
      <c r="A83" t="s">
        <v>20</v>
      </c>
      <c r="B83">
        <v>180</v>
      </c>
      <c r="C83" t="s">
        <v>14</v>
      </c>
      <c r="D83">
        <v>57</v>
      </c>
    </row>
    <row r="84" spans="1:4" x14ac:dyDescent="0.2">
      <c r="A84" t="s">
        <v>20</v>
      </c>
      <c r="B84">
        <v>533</v>
      </c>
      <c r="C84" t="s">
        <v>14</v>
      </c>
      <c r="D84">
        <v>41</v>
      </c>
    </row>
    <row r="85" spans="1:4" x14ac:dyDescent="0.2">
      <c r="A85" t="s">
        <v>20</v>
      </c>
      <c r="B85">
        <v>2443</v>
      </c>
      <c r="C85" t="s">
        <v>14</v>
      </c>
      <c r="D85">
        <v>1</v>
      </c>
    </row>
    <row r="86" spans="1:4" x14ac:dyDescent="0.2">
      <c r="A86" t="s">
        <v>20</v>
      </c>
      <c r="B86">
        <v>89</v>
      </c>
      <c r="C86" t="s">
        <v>14</v>
      </c>
      <c r="D86">
        <v>101</v>
      </c>
    </row>
    <row r="87" spans="1:4" x14ac:dyDescent="0.2">
      <c r="A87" t="s">
        <v>20</v>
      </c>
      <c r="B87">
        <v>159</v>
      </c>
      <c r="C87" t="s">
        <v>14</v>
      </c>
      <c r="D87">
        <v>1335</v>
      </c>
    </row>
    <row r="88" spans="1:4" x14ac:dyDescent="0.2">
      <c r="A88" t="s">
        <v>20</v>
      </c>
      <c r="B88">
        <v>50</v>
      </c>
      <c r="C88" t="s">
        <v>14</v>
      </c>
      <c r="D88">
        <v>15</v>
      </c>
    </row>
    <row r="89" spans="1:4" x14ac:dyDescent="0.2">
      <c r="A89" t="s">
        <v>20</v>
      </c>
      <c r="B89">
        <v>186</v>
      </c>
      <c r="C89" t="s">
        <v>14</v>
      </c>
      <c r="D89">
        <v>454</v>
      </c>
    </row>
    <row r="90" spans="1:4" x14ac:dyDescent="0.2">
      <c r="A90" t="s">
        <v>20</v>
      </c>
      <c r="B90">
        <v>1071</v>
      </c>
      <c r="C90" t="s">
        <v>14</v>
      </c>
      <c r="D90">
        <v>3182</v>
      </c>
    </row>
    <row r="91" spans="1:4" x14ac:dyDescent="0.2">
      <c r="A91" t="s">
        <v>20</v>
      </c>
      <c r="B91">
        <v>117</v>
      </c>
      <c r="C91" t="s">
        <v>14</v>
      </c>
      <c r="D91">
        <v>15</v>
      </c>
    </row>
    <row r="92" spans="1:4" x14ac:dyDescent="0.2">
      <c r="A92" t="s">
        <v>20</v>
      </c>
      <c r="B92">
        <v>70</v>
      </c>
      <c r="C92" t="s">
        <v>14</v>
      </c>
      <c r="D92">
        <v>133</v>
      </c>
    </row>
    <row r="93" spans="1:4" x14ac:dyDescent="0.2">
      <c r="A93" t="s">
        <v>20</v>
      </c>
      <c r="B93">
        <v>135</v>
      </c>
      <c r="C93" t="s">
        <v>14</v>
      </c>
      <c r="D93">
        <v>2062</v>
      </c>
    </row>
    <row r="94" spans="1:4" x14ac:dyDescent="0.2">
      <c r="A94" t="s">
        <v>20</v>
      </c>
      <c r="B94">
        <v>768</v>
      </c>
      <c r="C94" t="s">
        <v>14</v>
      </c>
      <c r="D94">
        <v>29</v>
      </c>
    </row>
    <row r="95" spans="1:4" x14ac:dyDescent="0.2">
      <c r="A95" t="s">
        <v>20</v>
      </c>
      <c r="B95">
        <v>199</v>
      </c>
      <c r="C95" t="s">
        <v>14</v>
      </c>
      <c r="D95">
        <v>132</v>
      </c>
    </row>
    <row r="96" spans="1:4" x14ac:dyDescent="0.2">
      <c r="A96" t="s">
        <v>20</v>
      </c>
      <c r="B96">
        <v>107</v>
      </c>
      <c r="C96" t="s">
        <v>14</v>
      </c>
      <c r="D96">
        <v>137</v>
      </c>
    </row>
    <row r="97" spans="1:4" x14ac:dyDescent="0.2">
      <c r="A97" t="s">
        <v>20</v>
      </c>
      <c r="B97">
        <v>195</v>
      </c>
      <c r="C97" t="s">
        <v>14</v>
      </c>
      <c r="D97">
        <v>908</v>
      </c>
    </row>
    <row r="98" spans="1:4" x14ac:dyDescent="0.2">
      <c r="A98" t="s">
        <v>20</v>
      </c>
      <c r="B98">
        <v>3376</v>
      </c>
      <c r="C98" t="s">
        <v>14</v>
      </c>
      <c r="D98">
        <v>10</v>
      </c>
    </row>
    <row r="99" spans="1:4" x14ac:dyDescent="0.2">
      <c r="A99" t="s">
        <v>20</v>
      </c>
      <c r="B99">
        <v>41</v>
      </c>
      <c r="C99" t="s">
        <v>14</v>
      </c>
      <c r="D99">
        <v>1910</v>
      </c>
    </row>
    <row r="100" spans="1:4" x14ac:dyDescent="0.2">
      <c r="A100" t="s">
        <v>20</v>
      </c>
      <c r="B100">
        <v>1821</v>
      </c>
      <c r="C100" t="s">
        <v>14</v>
      </c>
      <c r="D100">
        <v>38</v>
      </c>
    </row>
    <row r="101" spans="1:4" x14ac:dyDescent="0.2">
      <c r="A101" t="s">
        <v>20</v>
      </c>
      <c r="B101">
        <v>164</v>
      </c>
      <c r="C101" t="s">
        <v>14</v>
      </c>
      <c r="D101">
        <v>104</v>
      </c>
    </row>
    <row r="102" spans="1:4" x14ac:dyDescent="0.2">
      <c r="A102" t="s">
        <v>20</v>
      </c>
      <c r="B102">
        <v>157</v>
      </c>
      <c r="C102" t="s">
        <v>14</v>
      </c>
      <c r="D102">
        <v>49</v>
      </c>
    </row>
    <row r="103" spans="1:4" x14ac:dyDescent="0.2">
      <c r="A103" t="s">
        <v>20</v>
      </c>
      <c r="B103">
        <v>246</v>
      </c>
      <c r="C103" t="s">
        <v>14</v>
      </c>
      <c r="D103">
        <v>1</v>
      </c>
    </row>
    <row r="104" spans="1:4" x14ac:dyDescent="0.2">
      <c r="A104" t="s">
        <v>20</v>
      </c>
      <c r="B104">
        <v>1396</v>
      </c>
      <c r="C104" t="s">
        <v>14</v>
      </c>
      <c r="D104">
        <v>245</v>
      </c>
    </row>
    <row r="105" spans="1:4" x14ac:dyDescent="0.2">
      <c r="A105" t="s">
        <v>20</v>
      </c>
      <c r="B105">
        <v>2506</v>
      </c>
      <c r="C105" t="s">
        <v>14</v>
      </c>
      <c r="D105">
        <v>32</v>
      </c>
    </row>
    <row r="106" spans="1:4" x14ac:dyDescent="0.2">
      <c r="A106" t="s">
        <v>20</v>
      </c>
      <c r="B106">
        <v>244</v>
      </c>
      <c r="C106" t="s">
        <v>14</v>
      </c>
      <c r="D106">
        <v>7</v>
      </c>
    </row>
    <row r="107" spans="1:4" x14ac:dyDescent="0.2">
      <c r="A107" t="s">
        <v>20</v>
      </c>
      <c r="B107">
        <v>146</v>
      </c>
      <c r="C107" t="s">
        <v>14</v>
      </c>
      <c r="D107">
        <v>803</v>
      </c>
    </row>
    <row r="108" spans="1:4" x14ac:dyDescent="0.2">
      <c r="A108" t="s">
        <v>20</v>
      </c>
      <c r="B108">
        <v>1267</v>
      </c>
      <c r="C108" t="s">
        <v>14</v>
      </c>
      <c r="D108">
        <v>16</v>
      </c>
    </row>
    <row r="109" spans="1:4" x14ac:dyDescent="0.2">
      <c r="A109" t="s">
        <v>20</v>
      </c>
      <c r="B109">
        <v>1561</v>
      </c>
      <c r="C109" t="s">
        <v>14</v>
      </c>
      <c r="D109">
        <v>31</v>
      </c>
    </row>
    <row r="110" spans="1:4" x14ac:dyDescent="0.2">
      <c r="A110" t="s">
        <v>20</v>
      </c>
      <c r="B110">
        <v>48</v>
      </c>
      <c r="C110" t="s">
        <v>14</v>
      </c>
      <c r="D110">
        <v>108</v>
      </c>
    </row>
    <row r="111" spans="1:4" x14ac:dyDescent="0.2">
      <c r="A111" t="s">
        <v>20</v>
      </c>
      <c r="B111">
        <v>2739</v>
      </c>
      <c r="C111" t="s">
        <v>14</v>
      </c>
      <c r="D111">
        <v>30</v>
      </c>
    </row>
    <row r="112" spans="1:4" x14ac:dyDescent="0.2">
      <c r="A112" t="s">
        <v>20</v>
      </c>
      <c r="B112">
        <v>3537</v>
      </c>
      <c r="C112" t="s">
        <v>14</v>
      </c>
      <c r="D112">
        <v>17</v>
      </c>
    </row>
    <row r="113" spans="1:4" x14ac:dyDescent="0.2">
      <c r="A113" t="s">
        <v>20</v>
      </c>
      <c r="B113">
        <v>2107</v>
      </c>
      <c r="C113" t="s">
        <v>14</v>
      </c>
      <c r="D113">
        <v>80</v>
      </c>
    </row>
    <row r="114" spans="1:4" x14ac:dyDescent="0.2">
      <c r="A114" t="s">
        <v>20</v>
      </c>
      <c r="B114">
        <v>3318</v>
      </c>
      <c r="C114" t="s">
        <v>14</v>
      </c>
      <c r="D114">
        <v>2468</v>
      </c>
    </row>
    <row r="115" spans="1:4" x14ac:dyDescent="0.2">
      <c r="A115" t="s">
        <v>20</v>
      </c>
      <c r="B115">
        <v>340</v>
      </c>
      <c r="C115" t="s">
        <v>14</v>
      </c>
      <c r="D115">
        <v>26</v>
      </c>
    </row>
    <row r="116" spans="1:4" x14ac:dyDescent="0.2">
      <c r="A116" t="s">
        <v>20</v>
      </c>
      <c r="B116">
        <v>1442</v>
      </c>
      <c r="C116" t="s">
        <v>14</v>
      </c>
      <c r="D116">
        <v>73</v>
      </c>
    </row>
    <row r="117" spans="1:4" x14ac:dyDescent="0.2">
      <c r="A117" t="s">
        <v>20</v>
      </c>
      <c r="B117">
        <v>126</v>
      </c>
      <c r="C117" t="s">
        <v>14</v>
      </c>
      <c r="D117">
        <v>128</v>
      </c>
    </row>
    <row r="118" spans="1:4" x14ac:dyDescent="0.2">
      <c r="A118" t="s">
        <v>20</v>
      </c>
      <c r="B118">
        <v>524</v>
      </c>
      <c r="C118" t="s">
        <v>14</v>
      </c>
      <c r="D118">
        <v>33</v>
      </c>
    </row>
    <row r="119" spans="1:4" x14ac:dyDescent="0.2">
      <c r="A119" t="s">
        <v>20</v>
      </c>
      <c r="B119">
        <v>1989</v>
      </c>
      <c r="C119" t="s">
        <v>14</v>
      </c>
      <c r="D119">
        <v>1072</v>
      </c>
    </row>
    <row r="120" spans="1:4" x14ac:dyDescent="0.2">
      <c r="A120" t="s">
        <v>20</v>
      </c>
      <c r="B120">
        <v>157</v>
      </c>
      <c r="C120" t="s">
        <v>14</v>
      </c>
      <c r="D120">
        <v>393</v>
      </c>
    </row>
    <row r="121" spans="1:4" x14ac:dyDescent="0.2">
      <c r="A121" t="s">
        <v>20</v>
      </c>
      <c r="B121">
        <v>4498</v>
      </c>
      <c r="C121" t="s">
        <v>14</v>
      </c>
      <c r="D121">
        <v>1257</v>
      </c>
    </row>
    <row r="122" spans="1:4" x14ac:dyDescent="0.2">
      <c r="A122" t="s">
        <v>20</v>
      </c>
      <c r="B122">
        <v>80</v>
      </c>
      <c r="C122" t="s">
        <v>14</v>
      </c>
      <c r="D122">
        <v>328</v>
      </c>
    </row>
    <row r="123" spans="1:4" x14ac:dyDescent="0.2">
      <c r="A123" t="s">
        <v>20</v>
      </c>
      <c r="B123">
        <v>43</v>
      </c>
      <c r="C123" t="s">
        <v>14</v>
      </c>
      <c r="D123">
        <v>147</v>
      </c>
    </row>
    <row r="124" spans="1:4" x14ac:dyDescent="0.2">
      <c r="A124" t="s">
        <v>20</v>
      </c>
      <c r="B124">
        <v>2053</v>
      </c>
      <c r="C124" t="s">
        <v>14</v>
      </c>
      <c r="D124">
        <v>830</v>
      </c>
    </row>
    <row r="125" spans="1:4" x14ac:dyDescent="0.2">
      <c r="A125" t="s">
        <v>20</v>
      </c>
      <c r="B125">
        <v>168</v>
      </c>
      <c r="C125" t="s">
        <v>14</v>
      </c>
      <c r="D125">
        <v>331</v>
      </c>
    </row>
    <row r="126" spans="1:4" x14ac:dyDescent="0.2">
      <c r="A126" t="s">
        <v>20</v>
      </c>
      <c r="B126">
        <v>4289</v>
      </c>
      <c r="C126" t="s">
        <v>14</v>
      </c>
      <c r="D126">
        <v>25</v>
      </c>
    </row>
    <row r="127" spans="1:4" x14ac:dyDescent="0.2">
      <c r="A127" t="s">
        <v>20</v>
      </c>
      <c r="B127">
        <v>165</v>
      </c>
      <c r="C127" t="s">
        <v>14</v>
      </c>
      <c r="D127">
        <v>3483</v>
      </c>
    </row>
    <row r="128" spans="1:4" x14ac:dyDescent="0.2">
      <c r="A128" t="s">
        <v>20</v>
      </c>
      <c r="B128">
        <v>1815</v>
      </c>
      <c r="C128" t="s">
        <v>14</v>
      </c>
      <c r="D128">
        <v>923</v>
      </c>
    </row>
    <row r="129" spans="1:4" x14ac:dyDescent="0.2">
      <c r="A129" t="s">
        <v>20</v>
      </c>
      <c r="B129">
        <v>397</v>
      </c>
      <c r="C129" t="s">
        <v>14</v>
      </c>
      <c r="D129">
        <v>1</v>
      </c>
    </row>
    <row r="130" spans="1:4" x14ac:dyDescent="0.2">
      <c r="A130" t="s">
        <v>20</v>
      </c>
      <c r="B130">
        <v>1539</v>
      </c>
      <c r="C130" t="s">
        <v>14</v>
      </c>
      <c r="D130">
        <v>33</v>
      </c>
    </row>
    <row r="131" spans="1:4" x14ac:dyDescent="0.2">
      <c r="A131" t="s">
        <v>20</v>
      </c>
      <c r="B131">
        <v>138</v>
      </c>
      <c r="C131" t="s">
        <v>14</v>
      </c>
      <c r="D131">
        <v>40</v>
      </c>
    </row>
    <row r="132" spans="1:4" x14ac:dyDescent="0.2">
      <c r="A132" t="s">
        <v>20</v>
      </c>
      <c r="B132">
        <v>3594</v>
      </c>
      <c r="C132" t="s">
        <v>14</v>
      </c>
      <c r="D132">
        <v>23</v>
      </c>
    </row>
    <row r="133" spans="1:4" x14ac:dyDescent="0.2">
      <c r="A133" t="s">
        <v>20</v>
      </c>
      <c r="B133">
        <v>5880</v>
      </c>
      <c r="C133" t="s">
        <v>14</v>
      </c>
      <c r="D133">
        <v>75</v>
      </c>
    </row>
    <row r="134" spans="1:4" x14ac:dyDescent="0.2">
      <c r="A134" t="s">
        <v>20</v>
      </c>
      <c r="B134">
        <v>112</v>
      </c>
      <c r="C134" t="s">
        <v>14</v>
      </c>
      <c r="D134">
        <v>2176</v>
      </c>
    </row>
    <row r="135" spans="1:4" x14ac:dyDescent="0.2">
      <c r="A135" t="s">
        <v>20</v>
      </c>
      <c r="B135">
        <v>943</v>
      </c>
      <c r="C135" t="s">
        <v>14</v>
      </c>
      <c r="D135">
        <v>441</v>
      </c>
    </row>
    <row r="136" spans="1:4" x14ac:dyDescent="0.2">
      <c r="A136" t="s">
        <v>20</v>
      </c>
      <c r="B136">
        <v>2468</v>
      </c>
      <c r="C136" t="s">
        <v>14</v>
      </c>
      <c r="D136">
        <v>25</v>
      </c>
    </row>
    <row r="137" spans="1:4" x14ac:dyDescent="0.2">
      <c r="A137" t="s">
        <v>20</v>
      </c>
      <c r="B137">
        <v>2551</v>
      </c>
      <c r="C137" t="s">
        <v>14</v>
      </c>
      <c r="D137">
        <v>127</v>
      </c>
    </row>
    <row r="138" spans="1:4" x14ac:dyDescent="0.2">
      <c r="A138" t="s">
        <v>20</v>
      </c>
      <c r="B138">
        <v>101</v>
      </c>
      <c r="C138" t="s">
        <v>14</v>
      </c>
      <c r="D138">
        <v>355</v>
      </c>
    </row>
    <row r="139" spans="1:4" x14ac:dyDescent="0.2">
      <c r="A139" t="s">
        <v>20</v>
      </c>
      <c r="B139">
        <v>92</v>
      </c>
      <c r="C139" t="s">
        <v>14</v>
      </c>
      <c r="D139">
        <v>44</v>
      </c>
    </row>
    <row r="140" spans="1:4" x14ac:dyDescent="0.2">
      <c r="A140" t="s">
        <v>20</v>
      </c>
      <c r="B140">
        <v>62</v>
      </c>
      <c r="C140" t="s">
        <v>14</v>
      </c>
      <c r="D140">
        <v>67</v>
      </c>
    </row>
    <row r="141" spans="1:4" x14ac:dyDescent="0.2">
      <c r="A141" t="s">
        <v>20</v>
      </c>
      <c r="B141">
        <v>149</v>
      </c>
      <c r="C141" t="s">
        <v>14</v>
      </c>
      <c r="D141">
        <v>1068</v>
      </c>
    </row>
    <row r="142" spans="1:4" x14ac:dyDescent="0.2">
      <c r="A142" t="s">
        <v>20</v>
      </c>
      <c r="B142">
        <v>329</v>
      </c>
      <c r="C142" t="s">
        <v>14</v>
      </c>
      <c r="D142">
        <v>424</v>
      </c>
    </row>
    <row r="143" spans="1:4" x14ac:dyDescent="0.2">
      <c r="A143" t="s">
        <v>20</v>
      </c>
      <c r="B143">
        <v>97</v>
      </c>
      <c r="C143" t="s">
        <v>14</v>
      </c>
      <c r="D143">
        <v>151</v>
      </c>
    </row>
    <row r="144" spans="1:4" x14ac:dyDescent="0.2">
      <c r="A144" t="s">
        <v>20</v>
      </c>
      <c r="B144">
        <v>1784</v>
      </c>
      <c r="C144" t="s">
        <v>14</v>
      </c>
      <c r="D144">
        <v>1608</v>
      </c>
    </row>
    <row r="145" spans="1:4" x14ac:dyDescent="0.2">
      <c r="A145" t="s">
        <v>20</v>
      </c>
      <c r="B145">
        <v>1684</v>
      </c>
      <c r="C145" t="s">
        <v>14</v>
      </c>
      <c r="D145">
        <v>941</v>
      </c>
    </row>
    <row r="146" spans="1:4" x14ac:dyDescent="0.2">
      <c r="A146" t="s">
        <v>20</v>
      </c>
      <c r="B146">
        <v>250</v>
      </c>
      <c r="C146" t="s">
        <v>14</v>
      </c>
      <c r="D146">
        <v>1</v>
      </c>
    </row>
    <row r="147" spans="1:4" x14ac:dyDescent="0.2">
      <c r="A147" t="s">
        <v>20</v>
      </c>
      <c r="B147">
        <v>238</v>
      </c>
      <c r="C147" t="s">
        <v>14</v>
      </c>
      <c r="D147">
        <v>40</v>
      </c>
    </row>
    <row r="148" spans="1:4" x14ac:dyDescent="0.2">
      <c r="A148" t="s">
        <v>20</v>
      </c>
      <c r="B148">
        <v>53</v>
      </c>
      <c r="C148" t="s">
        <v>14</v>
      </c>
      <c r="D148">
        <v>3015</v>
      </c>
    </row>
    <row r="149" spans="1:4" x14ac:dyDescent="0.2">
      <c r="A149" t="s">
        <v>20</v>
      </c>
      <c r="B149">
        <v>214</v>
      </c>
      <c r="C149" t="s">
        <v>14</v>
      </c>
      <c r="D149">
        <v>435</v>
      </c>
    </row>
    <row r="150" spans="1:4" x14ac:dyDescent="0.2">
      <c r="A150" t="s">
        <v>20</v>
      </c>
      <c r="B150">
        <v>222</v>
      </c>
      <c r="C150" t="s">
        <v>14</v>
      </c>
      <c r="D150">
        <v>714</v>
      </c>
    </row>
    <row r="151" spans="1:4" x14ac:dyDescent="0.2">
      <c r="A151" t="s">
        <v>20</v>
      </c>
      <c r="B151">
        <v>1884</v>
      </c>
      <c r="C151" t="s">
        <v>14</v>
      </c>
      <c r="D151">
        <v>5497</v>
      </c>
    </row>
    <row r="152" spans="1:4" x14ac:dyDescent="0.2">
      <c r="A152" t="s">
        <v>20</v>
      </c>
      <c r="B152">
        <v>218</v>
      </c>
      <c r="C152" t="s">
        <v>14</v>
      </c>
      <c r="D152">
        <v>418</v>
      </c>
    </row>
    <row r="153" spans="1:4" x14ac:dyDescent="0.2">
      <c r="A153" t="s">
        <v>20</v>
      </c>
      <c r="B153">
        <v>6465</v>
      </c>
      <c r="C153" t="s">
        <v>14</v>
      </c>
      <c r="D153">
        <v>1439</v>
      </c>
    </row>
    <row r="154" spans="1:4" x14ac:dyDescent="0.2">
      <c r="A154" t="s">
        <v>20</v>
      </c>
      <c r="B154">
        <v>59</v>
      </c>
      <c r="C154" t="s">
        <v>14</v>
      </c>
      <c r="D154">
        <v>15</v>
      </c>
    </row>
    <row r="155" spans="1:4" x14ac:dyDescent="0.2">
      <c r="A155" t="s">
        <v>20</v>
      </c>
      <c r="B155">
        <v>88</v>
      </c>
      <c r="C155" t="s">
        <v>14</v>
      </c>
      <c r="D155">
        <v>1999</v>
      </c>
    </row>
    <row r="156" spans="1:4" x14ac:dyDescent="0.2">
      <c r="A156" t="s">
        <v>20</v>
      </c>
      <c r="B156">
        <v>1697</v>
      </c>
      <c r="C156" t="s">
        <v>14</v>
      </c>
      <c r="D156">
        <v>118</v>
      </c>
    </row>
    <row r="157" spans="1:4" x14ac:dyDescent="0.2">
      <c r="A157" t="s">
        <v>20</v>
      </c>
      <c r="B157">
        <v>92</v>
      </c>
      <c r="C157" t="s">
        <v>14</v>
      </c>
      <c r="D157">
        <v>162</v>
      </c>
    </row>
    <row r="158" spans="1:4" x14ac:dyDescent="0.2">
      <c r="A158" t="s">
        <v>20</v>
      </c>
      <c r="B158">
        <v>186</v>
      </c>
      <c r="C158" t="s">
        <v>14</v>
      </c>
      <c r="D158">
        <v>83</v>
      </c>
    </row>
    <row r="159" spans="1:4" x14ac:dyDescent="0.2">
      <c r="A159" t="s">
        <v>20</v>
      </c>
      <c r="B159">
        <v>138</v>
      </c>
      <c r="C159" t="s">
        <v>14</v>
      </c>
      <c r="D159">
        <v>747</v>
      </c>
    </row>
    <row r="160" spans="1:4" x14ac:dyDescent="0.2">
      <c r="A160" t="s">
        <v>20</v>
      </c>
      <c r="B160">
        <v>261</v>
      </c>
      <c r="C160" t="s">
        <v>14</v>
      </c>
      <c r="D160">
        <v>84</v>
      </c>
    </row>
    <row r="161" spans="1:4" x14ac:dyDescent="0.2">
      <c r="A161" t="s">
        <v>20</v>
      </c>
      <c r="B161">
        <v>107</v>
      </c>
      <c r="C161" t="s">
        <v>14</v>
      </c>
      <c r="D161">
        <v>91</v>
      </c>
    </row>
    <row r="162" spans="1:4" x14ac:dyDescent="0.2">
      <c r="A162" t="s">
        <v>20</v>
      </c>
      <c r="B162">
        <v>199</v>
      </c>
      <c r="C162" t="s">
        <v>14</v>
      </c>
      <c r="D162">
        <v>792</v>
      </c>
    </row>
    <row r="163" spans="1:4" x14ac:dyDescent="0.2">
      <c r="A163" t="s">
        <v>20</v>
      </c>
      <c r="B163">
        <v>5512</v>
      </c>
      <c r="C163" t="s">
        <v>14</v>
      </c>
      <c r="D163">
        <v>32</v>
      </c>
    </row>
    <row r="164" spans="1:4" x14ac:dyDescent="0.2">
      <c r="A164" t="s">
        <v>20</v>
      </c>
      <c r="B164">
        <v>86</v>
      </c>
      <c r="C164" t="s">
        <v>14</v>
      </c>
      <c r="D164">
        <v>186</v>
      </c>
    </row>
    <row r="165" spans="1:4" x14ac:dyDescent="0.2">
      <c r="A165" t="s">
        <v>20</v>
      </c>
      <c r="B165">
        <v>2768</v>
      </c>
      <c r="C165" t="s">
        <v>14</v>
      </c>
      <c r="D165">
        <v>605</v>
      </c>
    </row>
    <row r="166" spans="1:4" x14ac:dyDescent="0.2">
      <c r="A166" t="s">
        <v>20</v>
      </c>
      <c r="B166">
        <v>48</v>
      </c>
      <c r="C166" t="s">
        <v>14</v>
      </c>
      <c r="D166">
        <v>1</v>
      </c>
    </row>
    <row r="167" spans="1:4" x14ac:dyDescent="0.2">
      <c r="A167" t="s">
        <v>20</v>
      </c>
      <c r="B167">
        <v>87</v>
      </c>
      <c r="C167" t="s">
        <v>14</v>
      </c>
      <c r="D167">
        <v>31</v>
      </c>
    </row>
    <row r="168" spans="1:4" x14ac:dyDescent="0.2">
      <c r="A168" t="s">
        <v>20</v>
      </c>
      <c r="B168">
        <v>1894</v>
      </c>
      <c r="C168" t="s">
        <v>14</v>
      </c>
      <c r="D168">
        <v>1181</v>
      </c>
    </row>
    <row r="169" spans="1:4" x14ac:dyDescent="0.2">
      <c r="A169" t="s">
        <v>20</v>
      </c>
      <c r="B169">
        <v>282</v>
      </c>
      <c r="C169" t="s">
        <v>14</v>
      </c>
      <c r="D169">
        <v>39</v>
      </c>
    </row>
    <row r="170" spans="1:4" x14ac:dyDescent="0.2">
      <c r="A170" t="s">
        <v>20</v>
      </c>
      <c r="B170">
        <v>116</v>
      </c>
      <c r="C170" t="s">
        <v>14</v>
      </c>
      <c r="D170">
        <v>46</v>
      </c>
    </row>
    <row r="171" spans="1:4" x14ac:dyDescent="0.2">
      <c r="A171" t="s">
        <v>20</v>
      </c>
      <c r="B171">
        <v>83</v>
      </c>
      <c r="C171" t="s">
        <v>14</v>
      </c>
      <c r="D171">
        <v>105</v>
      </c>
    </row>
    <row r="172" spans="1:4" x14ac:dyDescent="0.2">
      <c r="A172" t="s">
        <v>20</v>
      </c>
      <c r="B172">
        <v>91</v>
      </c>
      <c r="C172" t="s">
        <v>14</v>
      </c>
      <c r="D172">
        <v>535</v>
      </c>
    </row>
    <row r="173" spans="1:4" x14ac:dyDescent="0.2">
      <c r="A173" t="s">
        <v>20</v>
      </c>
      <c r="B173">
        <v>546</v>
      </c>
      <c r="C173" t="s">
        <v>14</v>
      </c>
      <c r="D173">
        <v>16</v>
      </c>
    </row>
    <row r="174" spans="1:4" x14ac:dyDescent="0.2">
      <c r="A174" t="s">
        <v>20</v>
      </c>
      <c r="B174">
        <v>393</v>
      </c>
      <c r="C174" t="s">
        <v>14</v>
      </c>
      <c r="D174">
        <v>575</v>
      </c>
    </row>
    <row r="175" spans="1:4" x14ac:dyDescent="0.2">
      <c r="A175" t="s">
        <v>20</v>
      </c>
      <c r="B175">
        <v>133</v>
      </c>
      <c r="C175" t="s">
        <v>14</v>
      </c>
      <c r="D175">
        <v>1120</v>
      </c>
    </row>
    <row r="176" spans="1:4" x14ac:dyDescent="0.2">
      <c r="A176" t="s">
        <v>20</v>
      </c>
      <c r="B176">
        <v>254</v>
      </c>
      <c r="C176" t="s">
        <v>14</v>
      </c>
      <c r="D176">
        <v>113</v>
      </c>
    </row>
    <row r="177" spans="1:4" x14ac:dyDescent="0.2">
      <c r="A177" t="s">
        <v>20</v>
      </c>
      <c r="B177">
        <v>176</v>
      </c>
      <c r="C177" t="s">
        <v>14</v>
      </c>
      <c r="D177">
        <v>1538</v>
      </c>
    </row>
    <row r="178" spans="1:4" x14ac:dyDescent="0.2">
      <c r="A178" t="s">
        <v>20</v>
      </c>
      <c r="B178">
        <v>337</v>
      </c>
      <c r="C178" t="s">
        <v>14</v>
      </c>
      <c r="D178">
        <v>9</v>
      </c>
    </row>
    <row r="179" spans="1:4" x14ac:dyDescent="0.2">
      <c r="A179" t="s">
        <v>20</v>
      </c>
      <c r="B179">
        <v>107</v>
      </c>
      <c r="C179" t="s">
        <v>14</v>
      </c>
      <c r="D179">
        <v>554</v>
      </c>
    </row>
    <row r="180" spans="1:4" x14ac:dyDescent="0.2">
      <c r="A180" t="s">
        <v>20</v>
      </c>
      <c r="B180">
        <v>183</v>
      </c>
      <c r="C180" t="s">
        <v>14</v>
      </c>
      <c r="D180">
        <v>648</v>
      </c>
    </row>
    <row r="181" spans="1:4" x14ac:dyDescent="0.2">
      <c r="A181" t="s">
        <v>20</v>
      </c>
      <c r="B181">
        <v>72</v>
      </c>
      <c r="C181" t="s">
        <v>14</v>
      </c>
      <c r="D181">
        <v>21</v>
      </c>
    </row>
    <row r="182" spans="1:4" x14ac:dyDescent="0.2">
      <c r="A182" t="s">
        <v>20</v>
      </c>
      <c r="B182">
        <v>295</v>
      </c>
      <c r="C182" t="s">
        <v>14</v>
      </c>
      <c r="D182">
        <v>54</v>
      </c>
    </row>
    <row r="183" spans="1:4" x14ac:dyDescent="0.2">
      <c r="A183" t="s">
        <v>20</v>
      </c>
      <c r="B183">
        <v>142</v>
      </c>
      <c r="C183" t="s">
        <v>14</v>
      </c>
      <c r="D183">
        <v>120</v>
      </c>
    </row>
    <row r="184" spans="1:4" x14ac:dyDescent="0.2">
      <c r="A184" t="s">
        <v>20</v>
      </c>
      <c r="B184">
        <v>85</v>
      </c>
      <c r="C184" t="s">
        <v>14</v>
      </c>
      <c r="D184">
        <v>579</v>
      </c>
    </row>
    <row r="185" spans="1:4" x14ac:dyDescent="0.2">
      <c r="A185" t="s">
        <v>20</v>
      </c>
      <c r="B185">
        <v>659</v>
      </c>
      <c r="C185" t="s">
        <v>14</v>
      </c>
      <c r="D185">
        <v>2072</v>
      </c>
    </row>
    <row r="186" spans="1:4" x14ac:dyDescent="0.2">
      <c r="A186" t="s">
        <v>20</v>
      </c>
      <c r="B186">
        <v>121</v>
      </c>
      <c r="C186" t="s">
        <v>14</v>
      </c>
      <c r="D186">
        <v>0</v>
      </c>
    </row>
    <row r="187" spans="1:4" x14ac:dyDescent="0.2">
      <c r="A187" t="s">
        <v>20</v>
      </c>
      <c r="B187">
        <v>3742</v>
      </c>
      <c r="C187" t="s">
        <v>14</v>
      </c>
      <c r="D187">
        <v>1796</v>
      </c>
    </row>
    <row r="188" spans="1:4" x14ac:dyDescent="0.2">
      <c r="A188" t="s">
        <v>20</v>
      </c>
      <c r="B188">
        <v>223</v>
      </c>
      <c r="C188" t="s">
        <v>14</v>
      </c>
      <c r="D188">
        <v>62</v>
      </c>
    </row>
    <row r="189" spans="1:4" x14ac:dyDescent="0.2">
      <c r="A189" t="s">
        <v>20</v>
      </c>
      <c r="B189">
        <v>133</v>
      </c>
      <c r="C189" t="s">
        <v>14</v>
      </c>
      <c r="D189">
        <v>347</v>
      </c>
    </row>
    <row r="190" spans="1:4" x14ac:dyDescent="0.2">
      <c r="A190" t="s">
        <v>20</v>
      </c>
      <c r="B190">
        <v>5168</v>
      </c>
      <c r="C190" t="s">
        <v>14</v>
      </c>
      <c r="D190">
        <v>19</v>
      </c>
    </row>
    <row r="191" spans="1:4" x14ac:dyDescent="0.2">
      <c r="A191" t="s">
        <v>20</v>
      </c>
      <c r="B191">
        <v>307</v>
      </c>
      <c r="C191" t="s">
        <v>14</v>
      </c>
      <c r="D191">
        <v>1258</v>
      </c>
    </row>
    <row r="192" spans="1:4" x14ac:dyDescent="0.2">
      <c r="A192" t="s">
        <v>20</v>
      </c>
      <c r="B192">
        <v>2441</v>
      </c>
      <c r="C192" t="s">
        <v>14</v>
      </c>
      <c r="D192">
        <v>362</v>
      </c>
    </row>
    <row r="193" spans="1:4" x14ac:dyDescent="0.2">
      <c r="A193" t="s">
        <v>20</v>
      </c>
      <c r="B193">
        <v>1385</v>
      </c>
      <c r="C193" t="s">
        <v>14</v>
      </c>
      <c r="D193">
        <v>133</v>
      </c>
    </row>
    <row r="194" spans="1:4" x14ac:dyDescent="0.2">
      <c r="A194" t="s">
        <v>20</v>
      </c>
      <c r="B194">
        <v>190</v>
      </c>
      <c r="C194" t="s">
        <v>14</v>
      </c>
      <c r="D194">
        <v>846</v>
      </c>
    </row>
    <row r="195" spans="1:4" x14ac:dyDescent="0.2">
      <c r="A195" t="s">
        <v>20</v>
      </c>
      <c r="B195">
        <v>470</v>
      </c>
      <c r="C195" t="s">
        <v>14</v>
      </c>
      <c r="D195">
        <v>10</v>
      </c>
    </row>
    <row r="196" spans="1:4" x14ac:dyDescent="0.2">
      <c r="A196" t="s">
        <v>20</v>
      </c>
      <c r="B196">
        <v>253</v>
      </c>
      <c r="C196" t="s">
        <v>14</v>
      </c>
      <c r="D196">
        <v>191</v>
      </c>
    </row>
    <row r="197" spans="1:4" x14ac:dyDescent="0.2">
      <c r="A197" t="s">
        <v>20</v>
      </c>
      <c r="B197">
        <v>1113</v>
      </c>
      <c r="C197" t="s">
        <v>14</v>
      </c>
      <c r="D197">
        <v>1979</v>
      </c>
    </row>
    <row r="198" spans="1:4" x14ac:dyDescent="0.2">
      <c r="A198" t="s">
        <v>20</v>
      </c>
      <c r="B198">
        <v>2283</v>
      </c>
      <c r="C198" t="s">
        <v>14</v>
      </c>
      <c r="D198">
        <v>63</v>
      </c>
    </row>
    <row r="199" spans="1:4" x14ac:dyDescent="0.2">
      <c r="A199" t="s">
        <v>20</v>
      </c>
      <c r="B199">
        <v>1095</v>
      </c>
      <c r="C199" t="s">
        <v>14</v>
      </c>
      <c r="D199">
        <v>6080</v>
      </c>
    </row>
    <row r="200" spans="1:4" x14ac:dyDescent="0.2">
      <c r="A200" t="s">
        <v>20</v>
      </c>
      <c r="B200">
        <v>1690</v>
      </c>
      <c r="C200" t="s">
        <v>14</v>
      </c>
      <c r="D200">
        <v>80</v>
      </c>
    </row>
    <row r="201" spans="1:4" x14ac:dyDescent="0.2">
      <c r="A201" t="s">
        <v>20</v>
      </c>
      <c r="B201">
        <v>191</v>
      </c>
      <c r="C201" t="s">
        <v>14</v>
      </c>
      <c r="D201">
        <v>9</v>
      </c>
    </row>
    <row r="202" spans="1:4" x14ac:dyDescent="0.2">
      <c r="A202" t="s">
        <v>20</v>
      </c>
      <c r="B202">
        <v>2013</v>
      </c>
      <c r="C202" t="s">
        <v>14</v>
      </c>
      <c r="D202">
        <v>1784</v>
      </c>
    </row>
    <row r="203" spans="1:4" x14ac:dyDescent="0.2">
      <c r="A203" t="s">
        <v>20</v>
      </c>
      <c r="B203">
        <v>1703</v>
      </c>
      <c r="C203" t="s">
        <v>14</v>
      </c>
      <c r="D203">
        <v>243</v>
      </c>
    </row>
    <row r="204" spans="1:4" x14ac:dyDescent="0.2">
      <c r="A204" t="s">
        <v>20</v>
      </c>
      <c r="B204">
        <v>80</v>
      </c>
      <c r="C204" t="s">
        <v>14</v>
      </c>
      <c r="D204">
        <v>1296</v>
      </c>
    </row>
    <row r="205" spans="1:4" x14ac:dyDescent="0.2">
      <c r="A205" t="s">
        <v>20</v>
      </c>
      <c r="B205">
        <v>41</v>
      </c>
      <c r="C205" t="s">
        <v>14</v>
      </c>
      <c r="D205">
        <v>77</v>
      </c>
    </row>
    <row r="206" spans="1:4" x14ac:dyDescent="0.2">
      <c r="A206" t="s">
        <v>20</v>
      </c>
      <c r="B206">
        <v>187</v>
      </c>
      <c r="C206" t="s">
        <v>14</v>
      </c>
      <c r="D206">
        <v>395</v>
      </c>
    </row>
    <row r="207" spans="1:4" x14ac:dyDescent="0.2">
      <c r="A207" t="s">
        <v>20</v>
      </c>
      <c r="B207">
        <v>2875</v>
      </c>
      <c r="C207" t="s">
        <v>14</v>
      </c>
      <c r="D207">
        <v>49</v>
      </c>
    </row>
    <row r="208" spans="1:4" x14ac:dyDescent="0.2">
      <c r="A208" t="s">
        <v>20</v>
      </c>
      <c r="B208">
        <v>88</v>
      </c>
      <c r="C208" t="s">
        <v>14</v>
      </c>
      <c r="D208">
        <v>180</v>
      </c>
    </row>
    <row r="209" spans="1:4" x14ac:dyDescent="0.2">
      <c r="A209" t="s">
        <v>20</v>
      </c>
      <c r="B209">
        <v>191</v>
      </c>
      <c r="C209" t="s">
        <v>14</v>
      </c>
      <c r="D209">
        <v>2690</v>
      </c>
    </row>
    <row r="210" spans="1:4" x14ac:dyDescent="0.2">
      <c r="A210" t="s">
        <v>20</v>
      </c>
      <c r="B210">
        <v>139</v>
      </c>
      <c r="C210" t="s">
        <v>14</v>
      </c>
      <c r="D210">
        <v>2779</v>
      </c>
    </row>
    <row r="211" spans="1:4" x14ac:dyDescent="0.2">
      <c r="A211" t="s">
        <v>20</v>
      </c>
      <c r="B211">
        <v>186</v>
      </c>
      <c r="C211" t="s">
        <v>14</v>
      </c>
      <c r="D211">
        <v>92</v>
      </c>
    </row>
    <row r="212" spans="1:4" x14ac:dyDescent="0.2">
      <c r="A212" t="s">
        <v>20</v>
      </c>
      <c r="B212">
        <v>112</v>
      </c>
      <c r="C212" t="s">
        <v>14</v>
      </c>
      <c r="D212">
        <v>1028</v>
      </c>
    </row>
    <row r="213" spans="1:4" x14ac:dyDescent="0.2">
      <c r="A213" t="s">
        <v>20</v>
      </c>
      <c r="B213">
        <v>101</v>
      </c>
      <c r="C213" t="s">
        <v>14</v>
      </c>
      <c r="D213">
        <v>26</v>
      </c>
    </row>
    <row r="214" spans="1:4" x14ac:dyDescent="0.2">
      <c r="A214" t="s">
        <v>20</v>
      </c>
      <c r="B214">
        <v>206</v>
      </c>
      <c r="C214" t="s">
        <v>14</v>
      </c>
      <c r="D214">
        <v>1790</v>
      </c>
    </row>
    <row r="215" spans="1:4" x14ac:dyDescent="0.2">
      <c r="A215" t="s">
        <v>20</v>
      </c>
      <c r="B215">
        <v>154</v>
      </c>
      <c r="C215" t="s">
        <v>14</v>
      </c>
      <c r="D215">
        <v>37</v>
      </c>
    </row>
    <row r="216" spans="1:4" x14ac:dyDescent="0.2">
      <c r="A216" t="s">
        <v>20</v>
      </c>
      <c r="B216">
        <v>5966</v>
      </c>
      <c r="C216" t="s">
        <v>14</v>
      </c>
      <c r="D216">
        <v>35</v>
      </c>
    </row>
    <row r="217" spans="1:4" x14ac:dyDescent="0.2">
      <c r="A217" t="s">
        <v>20</v>
      </c>
      <c r="B217">
        <v>169</v>
      </c>
      <c r="C217" t="s">
        <v>14</v>
      </c>
      <c r="D217">
        <v>558</v>
      </c>
    </row>
    <row r="218" spans="1:4" x14ac:dyDescent="0.2">
      <c r="A218" t="s">
        <v>20</v>
      </c>
      <c r="B218">
        <v>2106</v>
      </c>
      <c r="C218" t="s">
        <v>14</v>
      </c>
      <c r="D218">
        <v>64</v>
      </c>
    </row>
    <row r="219" spans="1:4" x14ac:dyDescent="0.2">
      <c r="A219" t="s">
        <v>20</v>
      </c>
      <c r="B219">
        <v>131</v>
      </c>
      <c r="C219" t="s">
        <v>14</v>
      </c>
      <c r="D219">
        <v>245</v>
      </c>
    </row>
    <row r="220" spans="1:4" x14ac:dyDescent="0.2">
      <c r="A220" t="s">
        <v>20</v>
      </c>
      <c r="B220">
        <v>84</v>
      </c>
      <c r="C220" t="s">
        <v>14</v>
      </c>
      <c r="D220">
        <v>71</v>
      </c>
    </row>
    <row r="221" spans="1:4" x14ac:dyDescent="0.2">
      <c r="A221" t="s">
        <v>20</v>
      </c>
      <c r="B221">
        <v>155</v>
      </c>
      <c r="C221" t="s">
        <v>14</v>
      </c>
      <c r="D221">
        <v>42</v>
      </c>
    </row>
    <row r="222" spans="1:4" x14ac:dyDescent="0.2">
      <c r="A222" t="s">
        <v>20</v>
      </c>
      <c r="B222">
        <v>189</v>
      </c>
      <c r="C222" t="s">
        <v>14</v>
      </c>
      <c r="D222">
        <v>156</v>
      </c>
    </row>
    <row r="223" spans="1:4" x14ac:dyDescent="0.2">
      <c r="A223" t="s">
        <v>20</v>
      </c>
      <c r="B223">
        <v>4799</v>
      </c>
      <c r="C223" t="s">
        <v>14</v>
      </c>
      <c r="D223">
        <v>1368</v>
      </c>
    </row>
    <row r="224" spans="1:4" x14ac:dyDescent="0.2">
      <c r="A224" t="s">
        <v>20</v>
      </c>
      <c r="B224">
        <v>1137</v>
      </c>
      <c r="C224" t="s">
        <v>14</v>
      </c>
      <c r="D224">
        <v>102</v>
      </c>
    </row>
    <row r="225" spans="1:4" x14ac:dyDescent="0.2">
      <c r="A225" t="s">
        <v>20</v>
      </c>
      <c r="B225">
        <v>1152</v>
      </c>
      <c r="C225" t="s">
        <v>14</v>
      </c>
      <c r="D225">
        <v>86</v>
      </c>
    </row>
    <row r="226" spans="1:4" x14ac:dyDescent="0.2">
      <c r="A226" t="s">
        <v>20</v>
      </c>
      <c r="B226">
        <v>50</v>
      </c>
      <c r="C226" t="s">
        <v>14</v>
      </c>
      <c r="D226">
        <v>253</v>
      </c>
    </row>
    <row r="227" spans="1:4" x14ac:dyDescent="0.2">
      <c r="A227" t="s">
        <v>20</v>
      </c>
      <c r="B227">
        <v>3059</v>
      </c>
      <c r="C227" t="s">
        <v>14</v>
      </c>
      <c r="D227">
        <v>157</v>
      </c>
    </row>
    <row r="228" spans="1:4" x14ac:dyDescent="0.2">
      <c r="A228" t="s">
        <v>20</v>
      </c>
      <c r="B228">
        <v>34</v>
      </c>
      <c r="C228" t="s">
        <v>14</v>
      </c>
      <c r="D228">
        <v>183</v>
      </c>
    </row>
    <row r="229" spans="1:4" x14ac:dyDescent="0.2">
      <c r="A229" t="s">
        <v>20</v>
      </c>
      <c r="B229">
        <v>220</v>
      </c>
      <c r="C229" t="s">
        <v>14</v>
      </c>
      <c r="D229">
        <v>82</v>
      </c>
    </row>
    <row r="230" spans="1:4" x14ac:dyDescent="0.2">
      <c r="A230" t="s">
        <v>20</v>
      </c>
      <c r="B230">
        <v>1604</v>
      </c>
      <c r="C230" t="s">
        <v>14</v>
      </c>
      <c r="D230">
        <v>1</v>
      </c>
    </row>
    <row r="231" spans="1:4" x14ac:dyDescent="0.2">
      <c r="A231" t="s">
        <v>20</v>
      </c>
      <c r="B231">
        <v>454</v>
      </c>
      <c r="C231" t="s">
        <v>14</v>
      </c>
      <c r="D231">
        <v>1198</v>
      </c>
    </row>
    <row r="232" spans="1:4" x14ac:dyDescent="0.2">
      <c r="A232" t="s">
        <v>20</v>
      </c>
      <c r="B232">
        <v>123</v>
      </c>
      <c r="C232" t="s">
        <v>14</v>
      </c>
      <c r="D232">
        <v>648</v>
      </c>
    </row>
    <row r="233" spans="1:4" x14ac:dyDescent="0.2">
      <c r="A233" t="s">
        <v>20</v>
      </c>
      <c r="B233">
        <v>299</v>
      </c>
      <c r="C233" t="s">
        <v>14</v>
      </c>
      <c r="D233">
        <v>64</v>
      </c>
    </row>
    <row r="234" spans="1:4" x14ac:dyDescent="0.2">
      <c r="A234" t="s">
        <v>20</v>
      </c>
      <c r="B234">
        <v>2237</v>
      </c>
      <c r="C234" t="s">
        <v>14</v>
      </c>
      <c r="D234">
        <v>62</v>
      </c>
    </row>
    <row r="235" spans="1:4" x14ac:dyDescent="0.2">
      <c r="A235" t="s">
        <v>20</v>
      </c>
      <c r="B235">
        <v>645</v>
      </c>
      <c r="C235" t="s">
        <v>14</v>
      </c>
      <c r="D235">
        <v>750</v>
      </c>
    </row>
    <row r="236" spans="1:4" x14ac:dyDescent="0.2">
      <c r="A236" t="s">
        <v>20</v>
      </c>
      <c r="B236">
        <v>484</v>
      </c>
      <c r="C236" t="s">
        <v>14</v>
      </c>
      <c r="D236">
        <v>105</v>
      </c>
    </row>
    <row r="237" spans="1:4" x14ac:dyDescent="0.2">
      <c r="A237" t="s">
        <v>20</v>
      </c>
      <c r="B237">
        <v>154</v>
      </c>
      <c r="C237" t="s">
        <v>14</v>
      </c>
      <c r="D237">
        <v>2604</v>
      </c>
    </row>
    <row r="238" spans="1:4" x14ac:dyDescent="0.2">
      <c r="A238" t="s">
        <v>20</v>
      </c>
      <c r="B238">
        <v>82</v>
      </c>
      <c r="C238" t="s">
        <v>14</v>
      </c>
      <c r="D238">
        <v>65</v>
      </c>
    </row>
    <row r="239" spans="1:4" x14ac:dyDescent="0.2">
      <c r="A239" t="s">
        <v>20</v>
      </c>
      <c r="B239">
        <v>134</v>
      </c>
      <c r="C239" t="s">
        <v>14</v>
      </c>
      <c r="D239">
        <v>94</v>
      </c>
    </row>
    <row r="240" spans="1:4" x14ac:dyDescent="0.2">
      <c r="A240" t="s">
        <v>20</v>
      </c>
      <c r="B240">
        <v>5203</v>
      </c>
      <c r="C240" t="s">
        <v>14</v>
      </c>
      <c r="D240">
        <v>257</v>
      </c>
    </row>
    <row r="241" spans="1:4" x14ac:dyDescent="0.2">
      <c r="A241" t="s">
        <v>20</v>
      </c>
      <c r="B241">
        <v>94</v>
      </c>
      <c r="C241" t="s">
        <v>14</v>
      </c>
      <c r="D241">
        <v>2928</v>
      </c>
    </row>
    <row r="242" spans="1:4" x14ac:dyDescent="0.2">
      <c r="A242" t="s">
        <v>20</v>
      </c>
      <c r="B242">
        <v>205</v>
      </c>
      <c r="C242" t="s">
        <v>14</v>
      </c>
      <c r="D242">
        <v>4697</v>
      </c>
    </row>
    <row r="243" spans="1:4" x14ac:dyDescent="0.2">
      <c r="A243" t="s">
        <v>20</v>
      </c>
      <c r="B243">
        <v>92</v>
      </c>
      <c r="C243" t="s">
        <v>14</v>
      </c>
      <c r="D243">
        <v>2915</v>
      </c>
    </row>
    <row r="244" spans="1:4" x14ac:dyDescent="0.2">
      <c r="A244" t="s">
        <v>20</v>
      </c>
      <c r="B244">
        <v>219</v>
      </c>
      <c r="C244" t="s">
        <v>14</v>
      </c>
      <c r="D244">
        <v>18</v>
      </c>
    </row>
    <row r="245" spans="1:4" x14ac:dyDescent="0.2">
      <c r="A245" t="s">
        <v>20</v>
      </c>
      <c r="B245">
        <v>2526</v>
      </c>
      <c r="C245" t="s">
        <v>14</v>
      </c>
      <c r="D245">
        <v>602</v>
      </c>
    </row>
    <row r="246" spans="1:4" x14ac:dyDescent="0.2">
      <c r="A246" t="s">
        <v>20</v>
      </c>
      <c r="B246">
        <v>94</v>
      </c>
      <c r="C246" t="s">
        <v>14</v>
      </c>
      <c r="D246">
        <v>1</v>
      </c>
    </row>
    <row r="247" spans="1:4" x14ac:dyDescent="0.2">
      <c r="A247" t="s">
        <v>20</v>
      </c>
      <c r="B247">
        <v>1713</v>
      </c>
      <c r="C247" t="s">
        <v>14</v>
      </c>
      <c r="D247">
        <v>3868</v>
      </c>
    </row>
    <row r="248" spans="1:4" x14ac:dyDescent="0.2">
      <c r="A248" t="s">
        <v>20</v>
      </c>
      <c r="B248">
        <v>249</v>
      </c>
      <c r="C248" t="s">
        <v>14</v>
      </c>
      <c r="D248">
        <v>504</v>
      </c>
    </row>
    <row r="249" spans="1:4" x14ac:dyDescent="0.2">
      <c r="A249" t="s">
        <v>20</v>
      </c>
      <c r="B249">
        <v>192</v>
      </c>
      <c r="C249" t="s">
        <v>14</v>
      </c>
      <c r="D249">
        <v>14</v>
      </c>
    </row>
    <row r="250" spans="1:4" x14ac:dyDescent="0.2">
      <c r="A250" t="s">
        <v>20</v>
      </c>
      <c r="B250">
        <v>247</v>
      </c>
      <c r="C250" t="s">
        <v>14</v>
      </c>
      <c r="D250">
        <v>750</v>
      </c>
    </row>
    <row r="251" spans="1:4" x14ac:dyDescent="0.2">
      <c r="A251" t="s">
        <v>20</v>
      </c>
      <c r="B251">
        <v>2293</v>
      </c>
      <c r="C251" t="s">
        <v>14</v>
      </c>
      <c r="D251">
        <v>77</v>
      </c>
    </row>
    <row r="252" spans="1:4" x14ac:dyDescent="0.2">
      <c r="A252" t="s">
        <v>20</v>
      </c>
      <c r="B252">
        <v>3131</v>
      </c>
      <c r="C252" t="s">
        <v>14</v>
      </c>
      <c r="D252">
        <v>752</v>
      </c>
    </row>
    <row r="253" spans="1:4" x14ac:dyDescent="0.2">
      <c r="A253" t="s">
        <v>20</v>
      </c>
      <c r="B253">
        <v>143</v>
      </c>
      <c r="C253" t="s">
        <v>14</v>
      </c>
      <c r="D253">
        <v>131</v>
      </c>
    </row>
    <row r="254" spans="1:4" x14ac:dyDescent="0.2">
      <c r="A254" t="s">
        <v>20</v>
      </c>
      <c r="B254">
        <v>296</v>
      </c>
      <c r="C254" t="s">
        <v>14</v>
      </c>
      <c r="D254">
        <v>87</v>
      </c>
    </row>
    <row r="255" spans="1:4" x14ac:dyDescent="0.2">
      <c r="A255" t="s">
        <v>20</v>
      </c>
      <c r="B255">
        <v>170</v>
      </c>
      <c r="C255" t="s">
        <v>14</v>
      </c>
      <c r="D255">
        <v>1063</v>
      </c>
    </row>
    <row r="256" spans="1:4" x14ac:dyDescent="0.2">
      <c r="A256" t="s">
        <v>20</v>
      </c>
      <c r="B256">
        <v>86</v>
      </c>
      <c r="C256" t="s">
        <v>14</v>
      </c>
      <c r="D256">
        <v>76</v>
      </c>
    </row>
    <row r="257" spans="1:4" x14ac:dyDescent="0.2">
      <c r="A257" t="s">
        <v>20</v>
      </c>
      <c r="B257">
        <v>6286</v>
      </c>
      <c r="C257" t="s">
        <v>14</v>
      </c>
      <c r="D257">
        <v>4428</v>
      </c>
    </row>
    <row r="258" spans="1:4" x14ac:dyDescent="0.2">
      <c r="A258" t="s">
        <v>20</v>
      </c>
      <c r="B258">
        <v>3727</v>
      </c>
      <c r="C258" t="s">
        <v>14</v>
      </c>
      <c r="D258">
        <v>58</v>
      </c>
    </row>
    <row r="259" spans="1:4" x14ac:dyDescent="0.2">
      <c r="A259" t="s">
        <v>20</v>
      </c>
      <c r="B259">
        <v>1605</v>
      </c>
      <c r="C259" t="s">
        <v>14</v>
      </c>
      <c r="D259">
        <v>111</v>
      </c>
    </row>
    <row r="260" spans="1:4" x14ac:dyDescent="0.2">
      <c r="A260" t="s">
        <v>20</v>
      </c>
      <c r="B260">
        <v>2120</v>
      </c>
      <c r="C260" t="s">
        <v>14</v>
      </c>
      <c r="D260">
        <v>2955</v>
      </c>
    </row>
    <row r="261" spans="1:4" x14ac:dyDescent="0.2">
      <c r="A261" t="s">
        <v>20</v>
      </c>
      <c r="B261">
        <v>50</v>
      </c>
      <c r="C261" t="s">
        <v>14</v>
      </c>
      <c r="D261">
        <v>1657</v>
      </c>
    </row>
    <row r="262" spans="1:4" x14ac:dyDescent="0.2">
      <c r="A262" t="s">
        <v>20</v>
      </c>
      <c r="B262">
        <v>2080</v>
      </c>
      <c r="C262" t="s">
        <v>14</v>
      </c>
      <c r="D262">
        <v>926</v>
      </c>
    </row>
    <row r="263" spans="1:4" x14ac:dyDescent="0.2">
      <c r="A263" t="s">
        <v>20</v>
      </c>
      <c r="B263">
        <v>2105</v>
      </c>
      <c r="C263" t="s">
        <v>14</v>
      </c>
      <c r="D263">
        <v>77</v>
      </c>
    </row>
    <row r="264" spans="1:4" x14ac:dyDescent="0.2">
      <c r="A264" t="s">
        <v>20</v>
      </c>
      <c r="B264">
        <v>2436</v>
      </c>
      <c r="C264" t="s">
        <v>14</v>
      </c>
      <c r="D264">
        <v>1748</v>
      </c>
    </row>
    <row r="265" spans="1:4" x14ac:dyDescent="0.2">
      <c r="A265" t="s">
        <v>20</v>
      </c>
      <c r="B265">
        <v>80</v>
      </c>
      <c r="C265" t="s">
        <v>14</v>
      </c>
      <c r="D265">
        <v>79</v>
      </c>
    </row>
    <row r="266" spans="1:4" x14ac:dyDescent="0.2">
      <c r="A266" t="s">
        <v>20</v>
      </c>
      <c r="B266">
        <v>42</v>
      </c>
      <c r="C266" t="s">
        <v>14</v>
      </c>
      <c r="D266">
        <v>889</v>
      </c>
    </row>
    <row r="267" spans="1:4" x14ac:dyDescent="0.2">
      <c r="A267" t="s">
        <v>20</v>
      </c>
      <c r="B267">
        <v>139</v>
      </c>
      <c r="C267" t="s">
        <v>14</v>
      </c>
      <c r="D267">
        <v>56</v>
      </c>
    </row>
    <row r="268" spans="1:4" x14ac:dyDescent="0.2">
      <c r="A268" t="s">
        <v>20</v>
      </c>
      <c r="B268">
        <v>159</v>
      </c>
      <c r="C268" t="s">
        <v>14</v>
      </c>
      <c r="D268">
        <v>1</v>
      </c>
    </row>
    <row r="269" spans="1:4" x14ac:dyDescent="0.2">
      <c r="A269" t="s">
        <v>20</v>
      </c>
      <c r="B269">
        <v>381</v>
      </c>
      <c r="C269" t="s">
        <v>14</v>
      </c>
      <c r="D269">
        <v>83</v>
      </c>
    </row>
    <row r="270" spans="1:4" x14ac:dyDescent="0.2">
      <c r="A270" t="s">
        <v>20</v>
      </c>
      <c r="B270">
        <v>194</v>
      </c>
      <c r="C270" t="s">
        <v>14</v>
      </c>
      <c r="D270">
        <v>2025</v>
      </c>
    </row>
    <row r="271" spans="1:4" x14ac:dyDescent="0.2">
      <c r="A271" t="s">
        <v>20</v>
      </c>
      <c r="B271">
        <v>106</v>
      </c>
      <c r="C271" t="s">
        <v>14</v>
      </c>
      <c r="D271">
        <v>14</v>
      </c>
    </row>
    <row r="272" spans="1:4" x14ac:dyDescent="0.2">
      <c r="A272" t="s">
        <v>20</v>
      </c>
      <c r="B272">
        <v>142</v>
      </c>
      <c r="C272" t="s">
        <v>14</v>
      </c>
      <c r="D272">
        <v>656</v>
      </c>
    </row>
    <row r="273" spans="1:4" x14ac:dyDescent="0.2">
      <c r="A273" t="s">
        <v>20</v>
      </c>
      <c r="B273">
        <v>211</v>
      </c>
      <c r="C273" t="s">
        <v>14</v>
      </c>
      <c r="D273">
        <v>1596</v>
      </c>
    </row>
    <row r="274" spans="1:4" x14ac:dyDescent="0.2">
      <c r="A274" t="s">
        <v>20</v>
      </c>
      <c r="B274">
        <v>2756</v>
      </c>
      <c r="C274" t="s">
        <v>14</v>
      </c>
      <c r="D274">
        <v>10</v>
      </c>
    </row>
    <row r="275" spans="1:4" x14ac:dyDescent="0.2">
      <c r="A275" t="s">
        <v>20</v>
      </c>
      <c r="B275">
        <v>173</v>
      </c>
      <c r="C275" t="s">
        <v>14</v>
      </c>
      <c r="D275">
        <v>1121</v>
      </c>
    </row>
    <row r="276" spans="1:4" x14ac:dyDescent="0.2">
      <c r="A276" t="s">
        <v>20</v>
      </c>
      <c r="B276">
        <v>87</v>
      </c>
      <c r="C276" t="s">
        <v>14</v>
      </c>
      <c r="D276">
        <v>15</v>
      </c>
    </row>
    <row r="277" spans="1:4" x14ac:dyDescent="0.2">
      <c r="A277" t="s">
        <v>20</v>
      </c>
      <c r="B277">
        <v>1572</v>
      </c>
      <c r="C277" t="s">
        <v>14</v>
      </c>
      <c r="D277">
        <v>191</v>
      </c>
    </row>
    <row r="278" spans="1:4" x14ac:dyDescent="0.2">
      <c r="A278" t="s">
        <v>20</v>
      </c>
      <c r="B278">
        <v>2346</v>
      </c>
      <c r="C278" t="s">
        <v>14</v>
      </c>
      <c r="D278">
        <v>16</v>
      </c>
    </row>
    <row r="279" spans="1:4" x14ac:dyDescent="0.2">
      <c r="A279" t="s">
        <v>20</v>
      </c>
      <c r="B279">
        <v>115</v>
      </c>
      <c r="C279" t="s">
        <v>14</v>
      </c>
      <c r="D279">
        <v>17</v>
      </c>
    </row>
    <row r="280" spans="1:4" x14ac:dyDescent="0.2">
      <c r="A280" t="s">
        <v>20</v>
      </c>
      <c r="B280">
        <v>85</v>
      </c>
      <c r="C280" t="s">
        <v>14</v>
      </c>
      <c r="D280">
        <v>34</v>
      </c>
    </row>
    <row r="281" spans="1:4" x14ac:dyDescent="0.2">
      <c r="A281" t="s">
        <v>20</v>
      </c>
      <c r="B281">
        <v>144</v>
      </c>
      <c r="C281" t="s">
        <v>14</v>
      </c>
      <c r="D281">
        <v>1</v>
      </c>
    </row>
    <row r="282" spans="1:4" x14ac:dyDescent="0.2">
      <c r="A282" t="s">
        <v>20</v>
      </c>
      <c r="B282">
        <v>2443</v>
      </c>
      <c r="C282" t="s">
        <v>14</v>
      </c>
      <c r="D282">
        <v>1274</v>
      </c>
    </row>
    <row r="283" spans="1:4" x14ac:dyDescent="0.2">
      <c r="A283" t="s">
        <v>20</v>
      </c>
      <c r="B283">
        <v>64</v>
      </c>
      <c r="C283" t="s">
        <v>14</v>
      </c>
      <c r="D283">
        <v>210</v>
      </c>
    </row>
    <row r="284" spans="1:4" x14ac:dyDescent="0.2">
      <c r="A284" t="s">
        <v>20</v>
      </c>
      <c r="B284">
        <v>268</v>
      </c>
      <c r="C284" t="s">
        <v>14</v>
      </c>
      <c r="D284">
        <v>248</v>
      </c>
    </row>
    <row r="285" spans="1:4" x14ac:dyDescent="0.2">
      <c r="A285" t="s">
        <v>20</v>
      </c>
      <c r="B285">
        <v>195</v>
      </c>
      <c r="C285" t="s">
        <v>14</v>
      </c>
      <c r="D285">
        <v>513</v>
      </c>
    </row>
    <row r="286" spans="1:4" x14ac:dyDescent="0.2">
      <c r="A286" t="s">
        <v>20</v>
      </c>
      <c r="B286">
        <v>186</v>
      </c>
      <c r="C286" t="s">
        <v>14</v>
      </c>
      <c r="D286">
        <v>3410</v>
      </c>
    </row>
    <row r="287" spans="1:4" x14ac:dyDescent="0.2">
      <c r="A287" t="s">
        <v>20</v>
      </c>
      <c r="B287">
        <v>460</v>
      </c>
      <c r="C287" t="s">
        <v>14</v>
      </c>
      <c r="D287">
        <v>10</v>
      </c>
    </row>
    <row r="288" spans="1:4" x14ac:dyDescent="0.2">
      <c r="A288" t="s">
        <v>20</v>
      </c>
      <c r="B288">
        <v>2528</v>
      </c>
      <c r="C288" t="s">
        <v>14</v>
      </c>
      <c r="D288">
        <v>2201</v>
      </c>
    </row>
    <row r="289" spans="1:4" x14ac:dyDescent="0.2">
      <c r="A289" t="s">
        <v>20</v>
      </c>
      <c r="B289">
        <v>3657</v>
      </c>
      <c r="C289" t="s">
        <v>14</v>
      </c>
      <c r="D289">
        <v>676</v>
      </c>
    </row>
    <row r="290" spans="1:4" x14ac:dyDescent="0.2">
      <c r="A290" t="s">
        <v>20</v>
      </c>
      <c r="B290">
        <v>131</v>
      </c>
      <c r="C290" t="s">
        <v>14</v>
      </c>
      <c r="D290">
        <v>831</v>
      </c>
    </row>
    <row r="291" spans="1:4" x14ac:dyDescent="0.2">
      <c r="A291" t="s">
        <v>20</v>
      </c>
      <c r="B291">
        <v>239</v>
      </c>
      <c r="C291" t="s">
        <v>14</v>
      </c>
      <c r="D291">
        <v>859</v>
      </c>
    </row>
    <row r="292" spans="1:4" x14ac:dyDescent="0.2">
      <c r="A292" t="s">
        <v>20</v>
      </c>
      <c r="B292">
        <v>78</v>
      </c>
      <c r="C292" t="s">
        <v>14</v>
      </c>
      <c r="D292">
        <v>45</v>
      </c>
    </row>
    <row r="293" spans="1:4" x14ac:dyDescent="0.2">
      <c r="A293" t="s">
        <v>20</v>
      </c>
      <c r="B293">
        <v>1773</v>
      </c>
      <c r="C293" t="s">
        <v>14</v>
      </c>
      <c r="D293">
        <v>6</v>
      </c>
    </row>
    <row r="294" spans="1:4" x14ac:dyDescent="0.2">
      <c r="A294" t="s">
        <v>20</v>
      </c>
      <c r="B294">
        <v>32</v>
      </c>
      <c r="C294" t="s">
        <v>14</v>
      </c>
      <c r="D294">
        <v>7</v>
      </c>
    </row>
    <row r="295" spans="1:4" x14ac:dyDescent="0.2">
      <c r="A295" t="s">
        <v>20</v>
      </c>
      <c r="B295">
        <v>369</v>
      </c>
      <c r="C295" t="s">
        <v>14</v>
      </c>
      <c r="D295">
        <v>31</v>
      </c>
    </row>
    <row r="296" spans="1:4" x14ac:dyDescent="0.2">
      <c r="A296" t="s">
        <v>20</v>
      </c>
      <c r="B296">
        <v>89</v>
      </c>
      <c r="C296" t="s">
        <v>14</v>
      </c>
      <c r="D296">
        <v>78</v>
      </c>
    </row>
    <row r="297" spans="1:4" x14ac:dyDescent="0.2">
      <c r="A297" t="s">
        <v>20</v>
      </c>
      <c r="B297">
        <v>147</v>
      </c>
      <c r="C297" t="s">
        <v>14</v>
      </c>
      <c r="D297">
        <v>1225</v>
      </c>
    </row>
    <row r="298" spans="1:4" x14ac:dyDescent="0.2">
      <c r="A298" t="s">
        <v>20</v>
      </c>
      <c r="B298">
        <v>126</v>
      </c>
      <c r="C298" t="s">
        <v>14</v>
      </c>
      <c r="D298">
        <v>1</v>
      </c>
    </row>
    <row r="299" spans="1:4" x14ac:dyDescent="0.2">
      <c r="A299" t="s">
        <v>20</v>
      </c>
      <c r="B299">
        <v>2218</v>
      </c>
      <c r="C299" t="s">
        <v>14</v>
      </c>
      <c r="D299">
        <v>67</v>
      </c>
    </row>
    <row r="300" spans="1:4" x14ac:dyDescent="0.2">
      <c r="A300" t="s">
        <v>20</v>
      </c>
      <c r="B300">
        <v>202</v>
      </c>
      <c r="C300" t="s">
        <v>14</v>
      </c>
      <c r="D300">
        <v>19</v>
      </c>
    </row>
    <row r="301" spans="1:4" x14ac:dyDescent="0.2">
      <c r="A301" t="s">
        <v>20</v>
      </c>
      <c r="B301">
        <v>140</v>
      </c>
      <c r="C301" t="s">
        <v>14</v>
      </c>
      <c r="D301">
        <v>2108</v>
      </c>
    </row>
    <row r="302" spans="1:4" x14ac:dyDescent="0.2">
      <c r="A302" t="s">
        <v>20</v>
      </c>
      <c r="B302">
        <v>1052</v>
      </c>
      <c r="C302" t="s">
        <v>14</v>
      </c>
      <c r="D302">
        <v>679</v>
      </c>
    </row>
    <row r="303" spans="1:4" x14ac:dyDescent="0.2">
      <c r="A303" t="s">
        <v>20</v>
      </c>
      <c r="B303">
        <v>247</v>
      </c>
      <c r="C303" t="s">
        <v>14</v>
      </c>
      <c r="D303">
        <v>36</v>
      </c>
    </row>
    <row r="304" spans="1:4" x14ac:dyDescent="0.2">
      <c r="A304" t="s">
        <v>20</v>
      </c>
      <c r="B304">
        <v>84</v>
      </c>
      <c r="C304" t="s">
        <v>14</v>
      </c>
      <c r="D304">
        <v>47</v>
      </c>
    </row>
    <row r="305" spans="1:4" x14ac:dyDescent="0.2">
      <c r="A305" t="s">
        <v>20</v>
      </c>
      <c r="B305">
        <v>88</v>
      </c>
      <c r="C305" t="s">
        <v>14</v>
      </c>
      <c r="D305">
        <v>70</v>
      </c>
    </row>
    <row r="306" spans="1:4" x14ac:dyDescent="0.2">
      <c r="A306" t="s">
        <v>20</v>
      </c>
      <c r="B306">
        <v>156</v>
      </c>
      <c r="C306" t="s">
        <v>14</v>
      </c>
      <c r="D306">
        <v>154</v>
      </c>
    </row>
    <row r="307" spans="1:4" x14ac:dyDescent="0.2">
      <c r="A307" t="s">
        <v>20</v>
      </c>
      <c r="B307">
        <v>2985</v>
      </c>
      <c r="C307" t="s">
        <v>14</v>
      </c>
      <c r="D307">
        <v>22</v>
      </c>
    </row>
    <row r="308" spans="1:4" x14ac:dyDescent="0.2">
      <c r="A308" t="s">
        <v>20</v>
      </c>
      <c r="B308">
        <v>762</v>
      </c>
      <c r="C308" t="s">
        <v>14</v>
      </c>
      <c r="D308">
        <v>1758</v>
      </c>
    </row>
    <row r="309" spans="1:4" x14ac:dyDescent="0.2">
      <c r="A309" t="s">
        <v>20</v>
      </c>
      <c r="B309">
        <v>554</v>
      </c>
      <c r="C309" t="s">
        <v>14</v>
      </c>
      <c r="D309">
        <v>94</v>
      </c>
    </row>
    <row r="310" spans="1:4" x14ac:dyDescent="0.2">
      <c r="A310" t="s">
        <v>20</v>
      </c>
      <c r="B310">
        <v>135</v>
      </c>
      <c r="C310" t="s">
        <v>14</v>
      </c>
      <c r="D310">
        <v>33</v>
      </c>
    </row>
    <row r="311" spans="1:4" x14ac:dyDescent="0.2">
      <c r="A311" t="s">
        <v>20</v>
      </c>
      <c r="B311">
        <v>122</v>
      </c>
      <c r="C311" t="s">
        <v>14</v>
      </c>
      <c r="D311">
        <v>1</v>
      </c>
    </row>
    <row r="312" spans="1:4" x14ac:dyDescent="0.2">
      <c r="A312" t="s">
        <v>20</v>
      </c>
      <c r="B312">
        <v>221</v>
      </c>
      <c r="C312" t="s">
        <v>14</v>
      </c>
      <c r="D312">
        <v>31</v>
      </c>
    </row>
    <row r="313" spans="1:4" x14ac:dyDescent="0.2">
      <c r="A313" t="s">
        <v>20</v>
      </c>
      <c r="B313">
        <v>126</v>
      </c>
      <c r="C313" t="s">
        <v>14</v>
      </c>
      <c r="D313">
        <v>35</v>
      </c>
    </row>
    <row r="314" spans="1:4" x14ac:dyDescent="0.2">
      <c r="A314" t="s">
        <v>20</v>
      </c>
      <c r="B314">
        <v>1022</v>
      </c>
      <c r="C314" t="s">
        <v>14</v>
      </c>
      <c r="D314">
        <v>63</v>
      </c>
    </row>
    <row r="315" spans="1:4" x14ac:dyDescent="0.2">
      <c r="A315" t="s">
        <v>20</v>
      </c>
      <c r="B315">
        <v>3177</v>
      </c>
      <c r="C315" t="s">
        <v>14</v>
      </c>
      <c r="D315">
        <v>526</v>
      </c>
    </row>
    <row r="316" spans="1:4" x14ac:dyDescent="0.2">
      <c r="A316" t="s">
        <v>20</v>
      </c>
      <c r="B316">
        <v>198</v>
      </c>
      <c r="C316" t="s">
        <v>14</v>
      </c>
      <c r="D316">
        <v>121</v>
      </c>
    </row>
    <row r="317" spans="1:4" x14ac:dyDescent="0.2">
      <c r="A317" t="s">
        <v>20</v>
      </c>
      <c r="B317">
        <v>85</v>
      </c>
      <c r="C317" t="s">
        <v>14</v>
      </c>
      <c r="D317">
        <v>67</v>
      </c>
    </row>
    <row r="318" spans="1:4" x14ac:dyDescent="0.2">
      <c r="A318" t="s">
        <v>20</v>
      </c>
      <c r="B318">
        <v>3596</v>
      </c>
      <c r="C318" t="s">
        <v>14</v>
      </c>
      <c r="D318">
        <v>57</v>
      </c>
    </row>
    <row r="319" spans="1:4" x14ac:dyDescent="0.2">
      <c r="A319" t="s">
        <v>20</v>
      </c>
      <c r="B319">
        <v>244</v>
      </c>
      <c r="C319" t="s">
        <v>14</v>
      </c>
      <c r="D319">
        <v>1229</v>
      </c>
    </row>
    <row r="320" spans="1:4" x14ac:dyDescent="0.2">
      <c r="A320" t="s">
        <v>20</v>
      </c>
      <c r="B320">
        <v>5180</v>
      </c>
      <c r="C320" t="s">
        <v>14</v>
      </c>
      <c r="D320">
        <v>12</v>
      </c>
    </row>
    <row r="321" spans="1:4" x14ac:dyDescent="0.2">
      <c r="A321" t="s">
        <v>20</v>
      </c>
      <c r="B321">
        <v>589</v>
      </c>
      <c r="C321" t="s">
        <v>14</v>
      </c>
      <c r="D321">
        <v>452</v>
      </c>
    </row>
    <row r="322" spans="1:4" x14ac:dyDescent="0.2">
      <c r="A322" t="s">
        <v>20</v>
      </c>
      <c r="B322">
        <v>2725</v>
      </c>
      <c r="C322" t="s">
        <v>14</v>
      </c>
      <c r="D322">
        <v>1886</v>
      </c>
    </row>
    <row r="323" spans="1:4" x14ac:dyDescent="0.2">
      <c r="A323" t="s">
        <v>20</v>
      </c>
      <c r="B323">
        <v>300</v>
      </c>
      <c r="C323" t="s">
        <v>14</v>
      </c>
      <c r="D323">
        <v>1825</v>
      </c>
    </row>
    <row r="324" spans="1:4" x14ac:dyDescent="0.2">
      <c r="A324" t="s">
        <v>20</v>
      </c>
      <c r="B324">
        <v>144</v>
      </c>
      <c r="C324" t="s">
        <v>14</v>
      </c>
      <c r="D324">
        <v>31</v>
      </c>
    </row>
    <row r="325" spans="1:4" x14ac:dyDescent="0.2">
      <c r="A325" t="s">
        <v>20</v>
      </c>
      <c r="B325">
        <v>87</v>
      </c>
      <c r="C325" t="s">
        <v>14</v>
      </c>
      <c r="D325">
        <v>107</v>
      </c>
    </row>
    <row r="326" spans="1:4" x14ac:dyDescent="0.2">
      <c r="A326" t="s">
        <v>20</v>
      </c>
      <c r="B326">
        <v>3116</v>
      </c>
      <c r="C326" t="s">
        <v>14</v>
      </c>
      <c r="D326">
        <v>27</v>
      </c>
    </row>
    <row r="327" spans="1:4" x14ac:dyDescent="0.2">
      <c r="A327" t="s">
        <v>20</v>
      </c>
      <c r="B327">
        <v>909</v>
      </c>
      <c r="C327" t="s">
        <v>14</v>
      </c>
      <c r="D327">
        <v>1221</v>
      </c>
    </row>
    <row r="328" spans="1:4" x14ac:dyDescent="0.2">
      <c r="A328" t="s">
        <v>20</v>
      </c>
      <c r="B328">
        <v>1613</v>
      </c>
      <c r="C328" t="s">
        <v>14</v>
      </c>
      <c r="D328">
        <v>1</v>
      </c>
    </row>
    <row r="329" spans="1:4" x14ac:dyDescent="0.2">
      <c r="A329" t="s">
        <v>20</v>
      </c>
      <c r="B329">
        <v>136</v>
      </c>
      <c r="C329" t="s">
        <v>14</v>
      </c>
      <c r="D329">
        <v>16</v>
      </c>
    </row>
    <row r="330" spans="1:4" x14ac:dyDescent="0.2">
      <c r="A330" t="s">
        <v>20</v>
      </c>
      <c r="B330">
        <v>130</v>
      </c>
      <c r="C330" t="s">
        <v>14</v>
      </c>
      <c r="D330">
        <v>41</v>
      </c>
    </row>
    <row r="331" spans="1:4" x14ac:dyDescent="0.2">
      <c r="A331" t="s">
        <v>20</v>
      </c>
      <c r="B331">
        <v>102</v>
      </c>
      <c r="C331" t="s">
        <v>14</v>
      </c>
      <c r="D331">
        <v>523</v>
      </c>
    </row>
    <row r="332" spans="1:4" x14ac:dyDescent="0.2">
      <c r="A332" t="s">
        <v>20</v>
      </c>
      <c r="B332">
        <v>4006</v>
      </c>
      <c r="C332" t="s">
        <v>14</v>
      </c>
      <c r="D332">
        <v>141</v>
      </c>
    </row>
    <row r="333" spans="1:4" x14ac:dyDescent="0.2">
      <c r="A333" t="s">
        <v>20</v>
      </c>
      <c r="B333">
        <v>1629</v>
      </c>
      <c r="C333" t="s">
        <v>14</v>
      </c>
      <c r="D333">
        <v>52</v>
      </c>
    </row>
    <row r="334" spans="1:4" x14ac:dyDescent="0.2">
      <c r="A334" t="s">
        <v>20</v>
      </c>
      <c r="B334">
        <v>2188</v>
      </c>
      <c r="C334" t="s">
        <v>14</v>
      </c>
      <c r="D334">
        <v>225</v>
      </c>
    </row>
    <row r="335" spans="1:4" x14ac:dyDescent="0.2">
      <c r="A335" t="s">
        <v>20</v>
      </c>
      <c r="B335">
        <v>2409</v>
      </c>
      <c r="C335" t="s">
        <v>14</v>
      </c>
      <c r="D335">
        <v>38</v>
      </c>
    </row>
    <row r="336" spans="1:4" x14ac:dyDescent="0.2">
      <c r="A336" t="s">
        <v>20</v>
      </c>
      <c r="B336">
        <v>194</v>
      </c>
      <c r="C336" t="s">
        <v>14</v>
      </c>
      <c r="D336">
        <v>15</v>
      </c>
    </row>
    <row r="337" spans="1:4" x14ac:dyDescent="0.2">
      <c r="A337" t="s">
        <v>20</v>
      </c>
      <c r="B337">
        <v>1140</v>
      </c>
      <c r="C337" t="s">
        <v>14</v>
      </c>
      <c r="D337">
        <v>37</v>
      </c>
    </row>
    <row r="338" spans="1:4" x14ac:dyDescent="0.2">
      <c r="A338" t="s">
        <v>20</v>
      </c>
      <c r="B338">
        <v>102</v>
      </c>
      <c r="C338" t="s">
        <v>14</v>
      </c>
      <c r="D338">
        <v>112</v>
      </c>
    </row>
    <row r="339" spans="1:4" x14ac:dyDescent="0.2">
      <c r="A339" t="s">
        <v>20</v>
      </c>
      <c r="B339">
        <v>2857</v>
      </c>
      <c r="C339" t="s">
        <v>14</v>
      </c>
      <c r="D339">
        <v>21</v>
      </c>
    </row>
    <row r="340" spans="1:4" x14ac:dyDescent="0.2">
      <c r="A340" t="s">
        <v>20</v>
      </c>
      <c r="B340">
        <v>107</v>
      </c>
      <c r="C340" t="s">
        <v>14</v>
      </c>
      <c r="D340">
        <v>67</v>
      </c>
    </row>
    <row r="341" spans="1:4" x14ac:dyDescent="0.2">
      <c r="A341" t="s">
        <v>20</v>
      </c>
      <c r="B341">
        <v>160</v>
      </c>
      <c r="C341" t="s">
        <v>14</v>
      </c>
      <c r="D341">
        <v>78</v>
      </c>
    </row>
    <row r="342" spans="1:4" x14ac:dyDescent="0.2">
      <c r="A342" t="s">
        <v>20</v>
      </c>
      <c r="B342">
        <v>2230</v>
      </c>
      <c r="C342" t="s">
        <v>14</v>
      </c>
      <c r="D342">
        <v>67</v>
      </c>
    </row>
    <row r="343" spans="1:4" x14ac:dyDescent="0.2">
      <c r="A343" t="s">
        <v>20</v>
      </c>
      <c r="B343">
        <v>316</v>
      </c>
      <c r="C343" t="s">
        <v>14</v>
      </c>
      <c r="D343">
        <v>263</v>
      </c>
    </row>
    <row r="344" spans="1:4" x14ac:dyDescent="0.2">
      <c r="A344" t="s">
        <v>20</v>
      </c>
      <c r="B344">
        <v>117</v>
      </c>
      <c r="C344" t="s">
        <v>14</v>
      </c>
      <c r="D344">
        <v>1691</v>
      </c>
    </row>
    <row r="345" spans="1:4" x14ac:dyDescent="0.2">
      <c r="A345" t="s">
        <v>20</v>
      </c>
      <c r="B345">
        <v>6406</v>
      </c>
      <c r="C345" t="s">
        <v>14</v>
      </c>
      <c r="D345">
        <v>181</v>
      </c>
    </row>
    <row r="346" spans="1:4" x14ac:dyDescent="0.2">
      <c r="A346" t="s">
        <v>20</v>
      </c>
      <c r="B346">
        <v>192</v>
      </c>
      <c r="C346" t="s">
        <v>14</v>
      </c>
      <c r="D346">
        <v>13</v>
      </c>
    </row>
    <row r="347" spans="1:4" x14ac:dyDescent="0.2">
      <c r="A347" t="s">
        <v>20</v>
      </c>
      <c r="B347">
        <v>26</v>
      </c>
      <c r="C347" t="s">
        <v>14</v>
      </c>
      <c r="D347">
        <v>1</v>
      </c>
    </row>
    <row r="348" spans="1:4" x14ac:dyDescent="0.2">
      <c r="A348" t="s">
        <v>20</v>
      </c>
      <c r="B348">
        <v>723</v>
      </c>
      <c r="C348" t="s">
        <v>14</v>
      </c>
      <c r="D348">
        <v>21</v>
      </c>
    </row>
    <row r="349" spans="1:4" x14ac:dyDescent="0.2">
      <c r="A349" t="s">
        <v>20</v>
      </c>
      <c r="B349">
        <v>170</v>
      </c>
      <c r="C349" t="s">
        <v>14</v>
      </c>
      <c r="D349">
        <v>830</v>
      </c>
    </row>
    <row r="350" spans="1:4" x14ac:dyDescent="0.2">
      <c r="A350" t="s">
        <v>20</v>
      </c>
      <c r="B350">
        <v>238</v>
      </c>
      <c r="C350" t="s">
        <v>14</v>
      </c>
      <c r="D350">
        <v>130</v>
      </c>
    </row>
    <row r="351" spans="1:4" x14ac:dyDescent="0.2">
      <c r="A351" t="s">
        <v>20</v>
      </c>
      <c r="B351">
        <v>55</v>
      </c>
      <c r="C351" t="s">
        <v>14</v>
      </c>
      <c r="D351">
        <v>55</v>
      </c>
    </row>
    <row r="352" spans="1:4" x14ac:dyDescent="0.2">
      <c r="A352" t="s">
        <v>20</v>
      </c>
      <c r="B352">
        <v>128</v>
      </c>
      <c r="C352" t="s">
        <v>14</v>
      </c>
      <c r="D352">
        <v>114</v>
      </c>
    </row>
    <row r="353" spans="1:4" x14ac:dyDescent="0.2">
      <c r="A353" t="s">
        <v>20</v>
      </c>
      <c r="B353">
        <v>2144</v>
      </c>
      <c r="C353" t="s">
        <v>14</v>
      </c>
      <c r="D353">
        <v>594</v>
      </c>
    </row>
    <row r="354" spans="1:4" x14ac:dyDescent="0.2">
      <c r="A354" t="s">
        <v>20</v>
      </c>
      <c r="B354">
        <v>2693</v>
      </c>
      <c r="C354" t="s">
        <v>14</v>
      </c>
      <c r="D354">
        <v>24</v>
      </c>
    </row>
    <row r="355" spans="1:4" x14ac:dyDescent="0.2">
      <c r="A355" t="s">
        <v>20</v>
      </c>
      <c r="B355">
        <v>432</v>
      </c>
      <c r="C355" t="s">
        <v>14</v>
      </c>
      <c r="D355">
        <v>252</v>
      </c>
    </row>
    <row r="356" spans="1:4" x14ac:dyDescent="0.2">
      <c r="A356" t="s">
        <v>20</v>
      </c>
      <c r="B356">
        <v>189</v>
      </c>
      <c r="C356" t="s">
        <v>14</v>
      </c>
      <c r="D356">
        <v>67</v>
      </c>
    </row>
    <row r="357" spans="1:4" x14ac:dyDescent="0.2">
      <c r="A357" t="s">
        <v>20</v>
      </c>
      <c r="B357">
        <v>154</v>
      </c>
      <c r="C357" t="s">
        <v>14</v>
      </c>
      <c r="D357">
        <v>742</v>
      </c>
    </row>
    <row r="358" spans="1:4" x14ac:dyDescent="0.2">
      <c r="A358" t="s">
        <v>20</v>
      </c>
      <c r="B358">
        <v>96</v>
      </c>
      <c r="C358" t="s">
        <v>14</v>
      </c>
      <c r="D358">
        <v>75</v>
      </c>
    </row>
    <row r="359" spans="1:4" x14ac:dyDescent="0.2">
      <c r="A359" t="s">
        <v>20</v>
      </c>
      <c r="B359">
        <v>3063</v>
      </c>
      <c r="C359" t="s">
        <v>14</v>
      </c>
      <c r="D359">
        <v>4405</v>
      </c>
    </row>
    <row r="360" spans="1:4" x14ac:dyDescent="0.2">
      <c r="A360" t="s">
        <v>20</v>
      </c>
      <c r="B360">
        <v>2266</v>
      </c>
      <c r="C360" t="s">
        <v>14</v>
      </c>
      <c r="D360">
        <v>92</v>
      </c>
    </row>
    <row r="361" spans="1:4" x14ac:dyDescent="0.2">
      <c r="A361" t="s">
        <v>20</v>
      </c>
      <c r="B361">
        <v>194</v>
      </c>
      <c r="C361" t="s">
        <v>14</v>
      </c>
      <c r="D361">
        <v>64</v>
      </c>
    </row>
    <row r="362" spans="1:4" x14ac:dyDescent="0.2">
      <c r="A362" t="s">
        <v>20</v>
      </c>
      <c r="B362">
        <v>129</v>
      </c>
      <c r="C362" t="s">
        <v>14</v>
      </c>
      <c r="D362">
        <v>64</v>
      </c>
    </row>
    <row r="363" spans="1:4" x14ac:dyDescent="0.2">
      <c r="A363" t="s">
        <v>20</v>
      </c>
      <c r="B363">
        <v>375</v>
      </c>
      <c r="C363" t="s">
        <v>14</v>
      </c>
      <c r="D363">
        <v>842</v>
      </c>
    </row>
    <row r="364" spans="1:4" x14ac:dyDescent="0.2">
      <c r="A364" t="s">
        <v>20</v>
      </c>
      <c r="B364">
        <v>409</v>
      </c>
      <c r="C364" t="s">
        <v>14</v>
      </c>
      <c r="D364">
        <v>112</v>
      </c>
    </row>
    <row r="365" spans="1:4" x14ac:dyDescent="0.2">
      <c r="A365" t="s">
        <v>20</v>
      </c>
      <c r="B365">
        <v>234</v>
      </c>
      <c r="C365" t="s">
        <v>14</v>
      </c>
      <c r="D365">
        <v>374</v>
      </c>
    </row>
    <row r="366" spans="1:4" x14ac:dyDescent="0.2">
      <c r="A366" t="s">
        <v>20</v>
      </c>
      <c r="B366">
        <v>3016</v>
      </c>
    </row>
    <row r="367" spans="1:4" x14ac:dyDescent="0.2">
      <c r="A367" t="s">
        <v>20</v>
      </c>
      <c r="B367">
        <v>264</v>
      </c>
    </row>
    <row r="368" spans="1:4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conditionalFormatting sqref="A1:A1048141">
    <cfRule type="containsText" dxfId="7" priority="5" operator="containsText" text="canceled">
      <formula>NOT(ISERROR(SEARCH("canceled",A1)))</formula>
    </cfRule>
    <cfRule type="containsText" dxfId="6" priority="6" operator="containsText" text="live">
      <formula>NOT(ISERROR(SEARCH("live",A1)))</formula>
    </cfRule>
    <cfRule type="containsText" dxfId="5" priority="7" operator="containsText" text="successful">
      <formula>NOT(ISERROR(SEARCH("successful",A1)))</formula>
    </cfRule>
    <cfRule type="containsText" dxfId="4" priority="8" operator="containsText" text="failed">
      <formula>NOT(ISERROR(SEARCH("failed",A1)))</formula>
    </cfRule>
  </conditionalFormatting>
  <conditionalFormatting sqref="C1:C1047940">
    <cfRule type="containsText" dxfId="3" priority="1" operator="containsText" text="canceled">
      <formula>NOT(ISERROR(SEARCH("canceled",C1)))</formula>
    </cfRule>
    <cfRule type="containsText" dxfId="2" priority="2" operator="containsText" text="live">
      <formula>NOT(ISERROR(SEARCH("live",C1)))</formula>
    </cfRule>
    <cfRule type="containsText" dxfId="1" priority="3" operator="containsText" text="successful">
      <formula>NOT(ISERROR(SEARCH("successful",C1)))</formula>
    </cfRule>
    <cfRule type="containsText" dxfId="0" priority="4" operator="containsText" text="failed">
      <formula>NOT(ISERROR(SEARCH("failed",C1)))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 Table 1</vt:lpstr>
      <vt:lpstr>Pivot Table 2</vt:lpstr>
      <vt:lpstr>Pivot Table 3</vt:lpstr>
      <vt:lpstr>Crowdfunding Goal Analysis</vt:lpstr>
      <vt:lpstr>Crowdfunding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Anna Elizabeth Collawn</cp:lastModifiedBy>
  <dcterms:created xsi:type="dcterms:W3CDTF">2021-09-29T18:52:28Z</dcterms:created>
  <dcterms:modified xsi:type="dcterms:W3CDTF">2023-06-15T07:48:47Z</dcterms:modified>
</cp:coreProperties>
</file>